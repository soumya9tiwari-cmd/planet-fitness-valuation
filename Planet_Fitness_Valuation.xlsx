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C:\Users\monts\OneDrive\Documentos\MFIN - Classes\Corporate Finance\Team Assignment\"/>
    </mc:Choice>
  </mc:AlternateContent>
  <xr:revisionPtr revIDLastSave="0" documentId="13_ncr:1_{031A040D-10B5-46F7-8DF5-E9B7F187B016}" xr6:coauthVersionLast="47" xr6:coauthVersionMax="47" xr10:uidLastSave="{00000000-0000-0000-0000-000000000000}"/>
  <bookViews>
    <workbookView xWindow="28680" yWindow="-120" windowWidth="29040" windowHeight="16440" tabRatio="853" activeTab="10" xr2:uid="{00000000-000D-0000-FFFF-FFFF00000000}"/>
  </bookViews>
  <sheets>
    <sheet name="Cover" sheetId="156" r:id="rId1"/>
    <sheet name="DCF" sheetId="139" r:id="rId2"/>
    <sheet name="NWC" sheetId="137" r:id="rId3"/>
    <sheet name="WACC" sheetId="99" r:id="rId4"/>
    <sheet name="WACC Documentation" sheetId="162" r:id="rId5"/>
    <sheet name="AS1" sheetId="119" r:id="rId6"/>
    <sheet name="Assumptions 1 Documentation" sheetId="159" r:id="rId7"/>
    <sheet name="GDP" sheetId="160" r:id="rId8"/>
    <sheet name="AS2" sheetId="120" r:id="rId9"/>
    <sheet name="Assumption 2 Documentation" sheetId="161" r:id="rId10"/>
    <sheet name="References" sheetId="164" r:id="rId11"/>
  </sheets>
  <definedNames>
    <definedName name="\C">#REF!</definedName>
    <definedName name="\P">#REF!</definedName>
    <definedName name="\Q">#REF!</definedName>
    <definedName name="\S">#REF!</definedName>
    <definedName name="\X">#REF!</definedName>
    <definedName name="__FDS_HYPERLINK_TOGGLE_STATE__" hidden="1">"ON"</definedName>
    <definedName name="_1__123Graph_AChart_1A" hidden="1">#REF!</definedName>
    <definedName name="_10__123Graph_AChart_1AJ" hidden="1">#REF!</definedName>
    <definedName name="_100__123Graph_EGRAFICO_20" localSheetId="9" hidden="1">#REF!</definedName>
    <definedName name="_100__123Graph_EGRAFICO_20" localSheetId="6" hidden="1">#REF!</definedName>
    <definedName name="_100__123Graph_EGRAFICO_20" localSheetId="7" hidden="1">#REF!</definedName>
    <definedName name="_100__123Graph_EGRAFICO_20" hidden="1">#REF!</definedName>
    <definedName name="_101__123Graph_FChart_1B" hidden="1">#REF!</definedName>
    <definedName name="_102__123Graph_FGRAFICO_20" localSheetId="9" hidden="1">#REF!</definedName>
    <definedName name="_102__123Graph_FGRAFICO_20" localSheetId="6" hidden="1">#REF!</definedName>
    <definedName name="_102__123Graph_FGRAFICO_20" localSheetId="7" hidden="1">#REF!</definedName>
    <definedName name="_102__123Graph_FGRAFICO_20" hidden="1">#REF!</definedName>
    <definedName name="_103__123Graph_LBL_AGRAFICO_20" localSheetId="9" hidden="1">#REF!</definedName>
    <definedName name="_103__123Graph_LBL_AGRAFICO_20" localSheetId="6" hidden="1">#REF!</definedName>
    <definedName name="_103__123Graph_LBL_AGRAFICO_20" localSheetId="7" hidden="1">#REF!</definedName>
    <definedName name="_103__123Graph_LBL_AGRAFICO_20" hidden="1">#REF!</definedName>
    <definedName name="_104__123Graph_LBL_BGRAFICO_20" localSheetId="9" hidden="1">#REF!</definedName>
    <definedName name="_104__123Graph_LBL_BGRAFICO_20" localSheetId="6" hidden="1">#REF!</definedName>
    <definedName name="_104__123Graph_LBL_BGRAFICO_20" localSheetId="7" hidden="1">#REF!</definedName>
    <definedName name="_104__123Graph_LBL_BGRAFICO_20" hidden="1">#REF!</definedName>
    <definedName name="_105__123Graph_LBL_CGRAFICO_20" localSheetId="9" hidden="1">#REF!</definedName>
    <definedName name="_105__123Graph_LBL_CGRAFICO_20" localSheetId="6" hidden="1">#REF!</definedName>
    <definedName name="_105__123Graph_LBL_CGRAFICO_20" localSheetId="7" hidden="1">#REF!</definedName>
    <definedName name="_105__123Graph_LBL_CGRAFICO_20" hidden="1">#REF!</definedName>
    <definedName name="_106__123Graph_LBL_DGRAFICO_20" localSheetId="9" hidden="1">#REF!</definedName>
    <definedName name="_106__123Graph_LBL_DGRAFICO_20" localSheetId="6" hidden="1">#REF!</definedName>
    <definedName name="_106__123Graph_LBL_DGRAFICO_20" localSheetId="7" hidden="1">#REF!</definedName>
    <definedName name="_106__123Graph_LBL_DGRAFICO_20" hidden="1">#REF!</definedName>
    <definedName name="_107__123Graph_LBL_EGRAFICO_20" localSheetId="9" hidden="1">#REF!</definedName>
    <definedName name="_107__123Graph_LBL_EGRAFICO_20" localSheetId="6" hidden="1">#REF!</definedName>
    <definedName name="_107__123Graph_LBL_EGRAFICO_20" localSheetId="7" hidden="1">#REF!</definedName>
    <definedName name="_107__123Graph_LBL_EGRAFICO_20" hidden="1">#REF!</definedName>
    <definedName name="_108__123Graph_LBL_FGRAFICO_20" localSheetId="9" hidden="1">#REF!</definedName>
    <definedName name="_108__123Graph_LBL_FGRAFICO_20" localSheetId="6" hidden="1">#REF!</definedName>
    <definedName name="_108__123Graph_LBL_FGRAFICO_20" localSheetId="7" hidden="1">#REF!</definedName>
    <definedName name="_108__123Graph_LBL_FGRAFICO_20" hidden="1">#REF!</definedName>
    <definedName name="_109__123Graph_XGRAFICO_8" localSheetId="9" hidden="1">#REF!</definedName>
    <definedName name="_109__123Graph_XGRAFICO_8" localSheetId="6" hidden="1">#REF!</definedName>
    <definedName name="_109__123Graph_XGRAFICO_8" localSheetId="7" hidden="1">#REF!</definedName>
    <definedName name="_109__123Graph_XGRAFICO_8" hidden="1">#REF!</definedName>
    <definedName name="_11__123Graph_AChart_1AK" hidden="1">#REF!</definedName>
    <definedName name="_12__123Graph_AChart_1AL" hidden="1">#REF!</definedName>
    <definedName name="_13__123Graph_AChart_1AM" hidden="1">#REF!</definedName>
    <definedName name="_14__123Graph_AChart_1AN" hidden="1">#REF!</definedName>
    <definedName name="_15__123Graph_AChart_1B" hidden="1">#REF!</definedName>
    <definedName name="_16__123Graph_AChart_1C" hidden="1">#REF!</definedName>
    <definedName name="_17__123Graph_AChart_1E" hidden="1">#REF!</definedName>
    <definedName name="_18__123Graph_AChart_1F" hidden="1">#REF!</definedName>
    <definedName name="_19__123Graph_AChart_1G" hidden="1">#REF!</definedName>
    <definedName name="_2__123Graph_AChart_1AA" hidden="1">#REF!</definedName>
    <definedName name="_20__123Graph_AChart_1H" hidden="1">#REF!</definedName>
    <definedName name="_21__123Graph_AChart_1I" hidden="1">#REF!</definedName>
    <definedName name="_22__123Graph_AChart_1J" hidden="1">#REF!</definedName>
    <definedName name="_23__123Graph_AChart_1K" hidden="1">#REF!</definedName>
    <definedName name="_24__123Graph_AChart_1L" hidden="1">#REF!</definedName>
    <definedName name="_25__123Graph_AChart_1M" hidden="1">#REF!</definedName>
    <definedName name="_26__123Graph_AChart_1N" hidden="1">#REF!</definedName>
    <definedName name="_27__123Graph_AChart_1O" hidden="1">#REF!</definedName>
    <definedName name="_28__123Graph_AChart_1P" hidden="1">#REF!</definedName>
    <definedName name="_29__123Graph_AChart_1Q" hidden="1">#REF!</definedName>
    <definedName name="_3__123Graph_AChart_1AB" hidden="1">#REF!</definedName>
    <definedName name="_30__123Graph_AChart_1R" hidden="1">#REF!</definedName>
    <definedName name="_31__123Graph_AChart_1S" hidden="1">#REF!</definedName>
    <definedName name="_32__123Graph_AChart_1T" hidden="1">#REF!</definedName>
    <definedName name="_33__123Graph_AChart_1U" hidden="1">#REF!</definedName>
    <definedName name="_34__123Graph_AChart_1V" hidden="1">#REF!</definedName>
    <definedName name="_35__123Graph_AChart_1W" hidden="1">#REF!</definedName>
    <definedName name="_36__123Graph_AChart_1X" hidden="1">#REF!</definedName>
    <definedName name="_37__123Graph_AChart_1Y" hidden="1">#REF!</definedName>
    <definedName name="_38__123Graph_AChart_1Z" hidden="1">#REF!</definedName>
    <definedName name="_39__123Graph_AChart_2D" hidden="1">#REF!</definedName>
    <definedName name="_4__123Graph_AChart_1AC" hidden="1">#REF!</definedName>
    <definedName name="_40__123Graph_AChart_3D" hidden="1">#REF!</definedName>
    <definedName name="_41__123Graph_AChart_3X" hidden="1">#REF!</definedName>
    <definedName name="_42__123Graph_AChart_9C" hidden="1">#REF!</definedName>
    <definedName name="_43__123Graph_AGRAFICO_20" localSheetId="9" hidden="1">#REF!</definedName>
    <definedName name="_43__123Graph_AGRAFICO_20" localSheetId="6" hidden="1">#REF!</definedName>
    <definedName name="_43__123Graph_AGRAFICO_20" localSheetId="7" hidden="1">#REF!</definedName>
    <definedName name="_43__123Graph_AGRAFICO_20" hidden="1">#REF!</definedName>
    <definedName name="_44__123Graph_AGRAFICO_7" localSheetId="9" hidden="1">#REF!</definedName>
    <definedName name="_44__123Graph_AGRAFICO_7" localSheetId="6" hidden="1">#REF!</definedName>
    <definedName name="_44__123Graph_AGRAFICO_7" localSheetId="7" hidden="1">#REF!</definedName>
    <definedName name="_44__123Graph_AGRAFICO_7" hidden="1">#REF!</definedName>
    <definedName name="_45__123Graph_AGRAFICO_8" localSheetId="9" hidden="1">#REF!</definedName>
    <definedName name="_45__123Graph_AGRAFICO_8" localSheetId="6" hidden="1">#REF!</definedName>
    <definedName name="_45__123Graph_AGRAFICO_8" localSheetId="7" hidden="1">#REF!</definedName>
    <definedName name="_45__123Graph_AGRAFICO_8" hidden="1">#REF!</definedName>
    <definedName name="_46__123Graph_BChart_1AA" hidden="1">#REF!</definedName>
    <definedName name="_47__123Graph_BChart_1AB" hidden="1">#REF!</definedName>
    <definedName name="_48__123Graph_BChart_1AC" hidden="1">#REF!</definedName>
    <definedName name="_49__123Graph_BChart_1AD" hidden="1">#REF!</definedName>
    <definedName name="_5__123Graph_AChart_1AD" hidden="1">#REF!</definedName>
    <definedName name="_50__123Graph_BChart_1AE" hidden="1">#REF!</definedName>
    <definedName name="_51__123Graph_BChart_1AF" hidden="1">#REF!</definedName>
    <definedName name="_52__123Graph_BChart_1AG" hidden="1">#REF!</definedName>
    <definedName name="_53__123Graph_BChart_1B" hidden="1">#REF!</definedName>
    <definedName name="_54__123Graph_BChart_1C" hidden="1">#REF!</definedName>
    <definedName name="_55__123Graph_BChart_1E" hidden="1">#REF!</definedName>
    <definedName name="_56__123Graph_BChart_1F" hidden="1">#REF!</definedName>
    <definedName name="_57__123Graph_BChart_1G" hidden="1">#REF!</definedName>
    <definedName name="_58__123Graph_BChart_1H" hidden="1">#REF!</definedName>
    <definedName name="_59__123Graph_BChart_1I" hidden="1">#REF!</definedName>
    <definedName name="_6__123Graph_AChart_1AE" hidden="1">#REF!</definedName>
    <definedName name="_60__123Graph_BChart_1J" hidden="1">#REF!</definedName>
    <definedName name="_61__123Graph_BChart_1K" hidden="1">#REF!</definedName>
    <definedName name="_62__123Graph_BChart_1L" hidden="1">#REF!</definedName>
    <definedName name="_63__123Graph_BChart_1N" hidden="1">#REF!</definedName>
    <definedName name="_64__123Graph_BChart_1Q" hidden="1">#REF!</definedName>
    <definedName name="_65__123Graph_BChart_1Y" hidden="1">#REF!</definedName>
    <definedName name="_66__123Graph_BChart_1Z" hidden="1">#REF!</definedName>
    <definedName name="_67__123Graph_BChart_2D" hidden="1">#REF!</definedName>
    <definedName name="_68__123Graph_BChart_9C" hidden="1">#REF!</definedName>
    <definedName name="_69__123Graph_BGRAFICO_20" localSheetId="9" hidden="1">#REF!</definedName>
    <definedName name="_69__123Graph_BGRAFICO_20" localSheetId="6" hidden="1">#REF!</definedName>
    <definedName name="_69__123Graph_BGRAFICO_20" localSheetId="7" hidden="1">#REF!</definedName>
    <definedName name="_69__123Graph_BGRAFICO_20" hidden="1">#REF!</definedName>
    <definedName name="_7__123Graph_AChart_1AF" hidden="1">#REF!</definedName>
    <definedName name="_70__123Graph_BGRAFICO_7" localSheetId="9" hidden="1">#REF!</definedName>
    <definedName name="_70__123Graph_BGRAFICO_7" localSheetId="6" hidden="1">#REF!</definedName>
    <definedName name="_70__123Graph_BGRAFICO_7" localSheetId="7" hidden="1">#REF!</definedName>
    <definedName name="_70__123Graph_BGRAFICO_7" hidden="1">#REF!</definedName>
    <definedName name="_71__123Graph_BGRAFICO_8" localSheetId="9" hidden="1">#REF!</definedName>
    <definedName name="_71__123Graph_BGRAFICO_8" localSheetId="6" hidden="1">#REF!</definedName>
    <definedName name="_71__123Graph_BGRAFICO_8" localSheetId="7" hidden="1">#REF!</definedName>
    <definedName name="_71__123Graph_BGRAFICO_8" hidden="1">#REF!</definedName>
    <definedName name="_72__123Graph_CChart_1AA" hidden="1">#REF!</definedName>
    <definedName name="_73__123Graph_CChart_1AB" hidden="1">#REF!</definedName>
    <definedName name="_74__123Graph_CChart_1AE" hidden="1">#REF!</definedName>
    <definedName name="_75__123Graph_CChart_1AF" hidden="1">#REF!</definedName>
    <definedName name="_76__123Graph_CChart_1B" hidden="1">#REF!</definedName>
    <definedName name="_77__123Graph_CChart_1C" hidden="1">#REF!</definedName>
    <definedName name="_78__123Graph_CChart_1E" hidden="1">#REF!</definedName>
    <definedName name="_79__123Graph_CChart_1F" hidden="1">#REF!</definedName>
    <definedName name="_8__123Graph_AChart_1AG" hidden="1">#REF!</definedName>
    <definedName name="_80__123Graph_CChart_1G" hidden="1">#REF!</definedName>
    <definedName name="_81__123Graph_CChart_1H" hidden="1">#REF!</definedName>
    <definedName name="_82__123Graph_CChart_1I" hidden="1">#REF!</definedName>
    <definedName name="_83__123Graph_CChart_1J" hidden="1">#REF!</definedName>
    <definedName name="_84__123Graph_CChart_1K" hidden="1">#REF!</definedName>
    <definedName name="_85__123Graph_CChart_1L" hidden="1">#REF!</definedName>
    <definedName name="_86__123Graph_CChart_1N" hidden="1">#REF!</definedName>
    <definedName name="_87__123Graph_CChart_1Y" hidden="1">#REF!</definedName>
    <definedName name="_88__123Graph_CChart_9C" hidden="1">#REF!</definedName>
    <definedName name="_89__123Graph_CGRAFICO_20" localSheetId="9" hidden="1">#REF!</definedName>
    <definedName name="_89__123Graph_CGRAFICO_20" localSheetId="6" hidden="1">#REF!</definedName>
    <definedName name="_89__123Graph_CGRAFICO_20" localSheetId="7" hidden="1">#REF!</definedName>
    <definedName name="_89__123Graph_CGRAFICO_20" hidden="1">#REF!</definedName>
    <definedName name="_9__123Graph_AChart_1AI" hidden="1">#REF!</definedName>
    <definedName name="_90__123Graph_DChart_1AB" hidden="1">#REF!</definedName>
    <definedName name="_91__123Graph_DChart_1B" hidden="1">#REF!</definedName>
    <definedName name="_92__123Graph_DChart_1C" hidden="1">#REF!</definedName>
    <definedName name="_93__123Graph_DChart_1I" hidden="1">#REF!</definedName>
    <definedName name="_94__123Graph_DChart_1J" hidden="1">#REF!</definedName>
    <definedName name="_95__123Graph_DChart_1K" hidden="1">#REF!</definedName>
    <definedName name="_96__123Graph_DChart_1L" hidden="1">#REF!</definedName>
    <definedName name="_97__123Graph_DGRAFICO_20" localSheetId="9" hidden="1">#REF!</definedName>
    <definedName name="_97__123Graph_DGRAFICO_20" localSheetId="6" hidden="1">#REF!</definedName>
    <definedName name="_97__123Graph_DGRAFICO_20" localSheetId="7" hidden="1">#REF!</definedName>
    <definedName name="_97__123Graph_DGRAFICO_20" hidden="1">#REF!</definedName>
    <definedName name="_98__123Graph_EChart_1AB" hidden="1">#REF!</definedName>
    <definedName name="_99__123Graph_EChart_1B" hidden="1">#REF!</definedName>
    <definedName name="_a2" localSheetId="8" hidden="1">{"Page1",#N/A,FALSE,"CompCo";"Page2",#N/A,FALSE,"CompCo"}</definedName>
    <definedName name="_a2" localSheetId="9" hidden="1">{"Page1",#N/A,FALSE,"CompCo";"Page2",#N/A,FALSE,"CompCo"}</definedName>
    <definedName name="_a2" localSheetId="6" hidden="1">{"Page1",#N/A,FALSE,"CompCo";"Page2",#N/A,FALSE,"CompCo"}</definedName>
    <definedName name="_a2" localSheetId="1" hidden="1">{"Page1",#N/A,FALSE,"CompCo";"Page2",#N/A,FALSE,"CompCo"}</definedName>
    <definedName name="_a2" localSheetId="7" hidden="1">{"Page1",#N/A,FALSE,"CompCo";"Page2",#N/A,FALSE,"CompCo"}</definedName>
    <definedName name="_a2" localSheetId="2" hidden="1">{"Page1",#N/A,FALSE,"CompCo";"Page2",#N/A,FALSE,"CompCo"}</definedName>
    <definedName name="_a2" hidden="1">{"Page1",#N/A,FALSE,"CompCo";"Page2",#N/A,FALSE,"CompCo"}</definedName>
    <definedName name="_a3" localSheetId="8" hidden="1">{"Page1",#N/A,FALSE,"CompCo";"Page2",#N/A,FALSE,"CompCo"}</definedName>
    <definedName name="_a3" localSheetId="9" hidden="1">{"Page1",#N/A,FALSE,"CompCo";"Page2",#N/A,FALSE,"CompCo"}</definedName>
    <definedName name="_a3" localSheetId="6" hidden="1">{"Page1",#N/A,FALSE,"CompCo";"Page2",#N/A,FALSE,"CompCo"}</definedName>
    <definedName name="_a3" localSheetId="1" hidden="1">{"Page1",#N/A,FALSE,"CompCo";"Page2",#N/A,FALSE,"CompCo"}</definedName>
    <definedName name="_a3" localSheetId="7" hidden="1">{"Page1",#N/A,FALSE,"CompCo";"Page2",#N/A,FALSE,"CompCo"}</definedName>
    <definedName name="_a3" localSheetId="2" hidden="1">{"Page1",#N/A,FALSE,"CompCo";"Page2",#N/A,FALSE,"CompCo"}</definedName>
    <definedName name="_a3" hidden="1">{"Page1",#N/A,FALSE,"CompCo";"Page2",#N/A,FALSE,"CompCo"}</definedName>
    <definedName name="_aa2" localSheetId="9" hidden="1">{#N/A,#N/A,FALSE,"Hip.Bas";#N/A,#N/A,FALSE,"ventas";#N/A,#N/A,FALSE,"ingre-Año";#N/A,#N/A,FALSE,"ventas-Año";#N/A,#N/A,FALSE,"Costepro";#N/A,#N/A,FALSE,"inversion";#N/A,#N/A,FALSE,"personal";#N/A,#N/A,FALSE,"Gastos-V";#N/A,#N/A,FALSE,"Circulante";#N/A,#N/A,FALSE,"CONSOLI";#N/A,#N/A,FALSE,"Es-Fin";#N/A,#N/A,FALSE,"Margen-P"}</definedName>
    <definedName name="_aa2" localSheetId="6" hidden="1">{#N/A,#N/A,FALSE,"Hip.Bas";#N/A,#N/A,FALSE,"ventas";#N/A,#N/A,FALSE,"ingre-Año";#N/A,#N/A,FALSE,"ventas-Año";#N/A,#N/A,FALSE,"Costepro";#N/A,#N/A,FALSE,"inversion";#N/A,#N/A,FALSE,"personal";#N/A,#N/A,FALSE,"Gastos-V";#N/A,#N/A,FALSE,"Circulante";#N/A,#N/A,FALSE,"CONSOLI";#N/A,#N/A,FALSE,"Es-Fin";#N/A,#N/A,FALSE,"Margen-P"}</definedName>
    <definedName name="_aa2" localSheetId="1" hidden="1">{#N/A,#N/A,FALSE,"Hip.Bas";#N/A,#N/A,FALSE,"ventas";#N/A,#N/A,FALSE,"ingre-Año";#N/A,#N/A,FALSE,"ventas-Año";#N/A,#N/A,FALSE,"Costepro";#N/A,#N/A,FALSE,"inversion";#N/A,#N/A,FALSE,"personal";#N/A,#N/A,FALSE,"Gastos-V";#N/A,#N/A,FALSE,"Circulante";#N/A,#N/A,FALSE,"CONSOLI";#N/A,#N/A,FALSE,"Es-Fin";#N/A,#N/A,FALSE,"Margen-P"}</definedName>
    <definedName name="_aa2" localSheetId="7" hidden="1">{#N/A,#N/A,FALSE,"Hip.Bas";#N/A,#N/A,FALSE,"ventas";#N/A,#N/A,FALSE,"ingre-Año";#N/A,#N/A,FALSE,"ventas-Año";#N/A,#N/A,FALSE,"Costepro";#N/A,#N/A,FALSE,"inversion";#N/A,#N/A,FALSE,"personal";#N/A,#N/A,FALSE,"Gastos-V";#N/A,#N/A,FALSE,"Circulante";#N/A,#N/A,FALSE,"CONSOLI";#N/A,#N/A,FALSE,"Es-Fin";#N/A,#N/A,FALSE,"Margen-P"}</definedName>
    <definedName name="_aa2" localSheetId="2" hidden="1">{#N/A,#N/A,FALSE,"Hip.Bas";#N/A,#N/A,FALSE,"ventas";#N/A,#N/A,FALSE,"ingre-Año";#N/A,#N/A,FALSE,"ventas-Año";#N/A,#N/A,FALSE,"Costepro";#N/A,#N/A,FALSE,"inversion";#N/A,#N/A,FALSE,"personal";#N/A,#N/A,FALSE,"Gastos-V";#N/A,#N/A,FALSE,"Circulante";#N/A,#N/A,FALSE,"CONSOLI";#N/A,#N/A,FALSE,"Es-Fin";#N/A,#N/A,FALSE,"Margen-P"}</definedName>
    <definedName name="_aa2" hidden="1">{#N/A,#N/A,FALSE,"Hip.Bas";#N/A,#N/A,FALSE,"ventas";#N/A,#N/A,FALSE,"ingre-Año";#N/A,#N/A,FALSE,"ventas-Año";#N/A,#N/A,FALSE,"Costepro";#N/A,#N/A,FALSE,"inversion";#N/A,#N/A,FALSE,"personal";#N/A,#N/A,FALSE,"Gastos-V";#N/A,#N/A,FALSE,"Circulante";#N/A,#N/A,FALSE,"CONSOLI";#N/A,#N/A,FALSE,"Es-Fin";#N/A,#N/A,FALSE,"Margen-P"}</definedName>
    <definedName name="_aa3" localSheetId="9" hidden="1">{#N/A,#N/A,FALSE,"Hip.Bas";#N/A,#N/A,FALSE,"ventas";#N/A,#N/A,FALSE,"ingre-Año";#N/A,#N/A,FALSE,"ventas-Año";#N/A,#N/A,FALSE,"Costepro";#N/A,#N/A,FALSE,"inversion";#N/A,#N/A,FALSE,"personal";#N/A,#N/A,FALSE,"Gastos-V";#N/A,#N/A,FALSE,"Circulante";#N/A,#N/A,FALSE,"CONSOLI";#N/A,#N/A,FALSE,"Es-Fin";#N/A,#N/A,FALSE,"Margen-P"}</definedName>
    <definedName name="_aa3" localSheetId="6" hidden="1">{#N/A,#N/A,FALSE,"Hip.Bas";#N/A,#N/A,FALSE,"ventas";#N/A,#N/A,FALSE,"ingre-Año";#N/A,#N/A,FALSE,"ventas-Año";#N/A,#N/A,FALSE,"Costepro";#N/A,#N/A,FALSE,"inversion";#N/A,#N/A,FALSE,"personal";#N/A,#N/A,FALSE,"Gastos-V";#N/A,#N/A,FALSE,"Circulante";#N/A,#N/A,FALSE,"CONSOLI";#N/A,#N/A,FALSE,"Es-Fin";#N/A,#N/A,FALSE,"Margen-P"}</definedName>
    <definedName name="_aa3" localSheetId="1" hidden="1">{#N/A,#N/A,FALSE,"Hip.Bas";#N/A,#N/A,FALSE,"ventas";#N/A,#N/A,FALSE,"ingre-Año";#N/A,#N/A,FALSE,"ventas-Año";#N/A,#N/A,FALSE,"Costepro";#N/A,#N/A,FALSE,"inversion";#N/A,#N/A,FALSE,"personal";#N/A,#N/A,FALSE,"Gastos-V";#N/A,#N/A,FALSE,"Circulante";#N/A,#N/A,FALSE,"CONSOLI";#N/A,#N/A,FALSE,"Es-Fin";#N/A,#N/A,FALSE,"Margen-P"}</definedName>
    <definedName name="_aa3" localSheetId="7" hidden="1">{#N/A,#N/A,FALSE,"Hip.Bas";#N/A,#N/A,FALSE,"ventas";#N/A,#N/A,FALSE,"ingre-Año";#N/A,#N/A,FALSE,"ventas-Año";#N/A,#N/A,FALSE,"Costepro";#N/A,#N/A,FALSE,"inversion";#N/A,#N/A,FALSE,"personal";#N/A,#N/A,FALSE,"Gastos-V";#N/A,#N/A,FALSE,"Circulante";#N/A,#N/A,FALSE,"CONSOLI";#N/A,#N/A,FALSE,"Es-Fin";#N/A,#N/A,FALSE,"Margen-P"}</definedName>
    <definedName name="_aa3" localSheetId="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ud2">#REF!</definedName>
    <definedName name="_bb2" localSheetId="9" hidden="1">{#N/A,#N/A,FALSE,"Hip.Bas";#N/A,#N/A,FALSE,"ventas";#N/A,#N/A,FALSE,"ingre-Año";#N/A,#N/A,FALSE,"ventas-Año";#N/A,#N/A,FALSE,"Costepro";#N/A,#N/A,FALSE,"inversion";#N/A,#N/A,FALSE,"personal";#N/A,#N/A,FALSE,"Gastos-V";#N/A,#N/A,FALSE,"Circulante";#N/A,#N/A,FALSE,"CONSOLI";#N/A,#N/A,FALSE,"Es-Fin";#N/A,#N/A,FALSE,"Margen-P"}</definedName>
    <definedName name="_bb2" localSheetId="6" hidden="1">{#N/A,#N/A,FALSE,"Hip.Bas";#N/A,#N/A,FALSE,"ventas";#N/A,#N/A,FALSE,"ingre-Año";#N/A,#N/A,FALSE,"ventas-Año";#N/A,#N/A,FALSE,"Costepro";#N/A,#N/A,FALSE,"inversion";#N/A,#N/A,FALSE,"personal";#N/A,#N/A,FALSE,"Gastos-V";#N/A,#N/A,FALSE,"Circulante";#N/A,#N/A,FALSE,"CONSOLI";#N/A,#N/A,FALSE,"Es-Fin";#N/A,#N/A,FALSE,"Margen-P"}</definedName>
    <definedName name="_bb2" localSheetId="1" hidden="1">{#N/A,#N/A,FALSE,"Hip.Bas";#N/A,#N/A,FALSE,"ventas";#N/A,#N/A,FALSE,"ingre-Año";#N/A,#N/A,FALSE,"ventas-Año";#N/A,#N/A,FALSE,"Costepro";#N/A,#N/A,FALSE,"inversion";#N/A,#N/A,FALSE,"personal";#N/A,#N/A,FALSE,"Gastos-V";#N/A,#N/A,FALSE,"Circulante";#N/A,#N/A,FALSE,"CONSOLI";#N/A,#N/A,FALSE,"Es-Fin";#N/A,#N/A,FALSE,"Margen-P"}</definedName>
    <definedName name="_bb2" localSheetId="7" hidden="1">{#N/A,#N/A,FALSE,"Hip.Bas";#N/A,#N/A,FALSE,"ventas";#N/A,#N/A,FALSE,"ingre-Año";#N/A,#N/A,FALSE,"ventas-Año";#N/A,#N/A,FALSE,"Costepro";#N/A,#N/A,FALSE,"inversion";#N/A,#N/A,FALSE,"personal";#N/A,#N/A,FALSE,"Gastos-V";#N/A,#N/A,FALSE,"Circulante";#N/A,#N/A,FALSE,"CONSOLI";#N/A,#N/A,FALSE,"Es-Fin";#N/A,#N/A,FALSE,"Margen-P"}</definedName>
    <definedName name="_bb2" localSheetId="2" hidden="1">{#N/A,#N/A,FALSE,"Hip.Bas";#N/A,#N/A,FALSE,"ventas";#N/A,#N/A,FALSE,"ingre-Año";#N/A,#N/A,FALSE,"ventas-Año";#N/A,#N/A,FALSE,"Costepro";#N/A,#N/A,FALSE,"inversion";#N/A,#N/A,FALSE,"personal";#N/A,#N/A,FALSE,"Gastos-V";#N/A,#N/A,FALSE,"Circulante";#N/A,#N/A,FALSE,"CONSOLI";#N/A,#N/A,FALSE,"Es-Fin";#N/A,#N/A,FALSE,"Margen-P"}</definedName>
    <definedName name="_bb2" hidden="1">{#N/A,#N/A,FALSE,"Hip.Bas";#N/A,#N/A,FALSE,"ventas";#N/A,#N/A,FALSE,"ingre-Año";#N/A,#N/A,FALSE,"ventas-Año";#N/A,#N/A,FALSE,"Costepro";#N/A,#N/A,FALSE,"inversion";#N/A,#N/A,FALSE,"personal";#N/A,#N/A,FALSE,"Gastos-V";#N/A,#N/A,FALSE,"Circulante";#N/A,#N/A,FALSE,"CONSOLI";#N/A,#N/A,FALSE,"Es-Fin";#N/A,#N/A,FALSE,"Margen-P"}</definedName>
    <definedName name="_bb3" localSheetId="9" hidden="1">{#N/A,#N/A,FALSE,"Hip.Bas";#N/A,#N/A,FALSE,"ventas";#N/A,#N/A,FALSE,"ingre-Año";#N/A,#N/A,FALSE,"ventas-Año";#N/A,#N/A,FALSE,"Costepro";#N/A,#N/A,FALSE,"inversion";#N/A,#N/A,FALSE,"personal";#N/A,#N/A,FALSE,"Gastos-V";#N/A,#N/A,FALSE,"Circulante";#N/A,#N/A,FALSE,"CONSOLI";#N/A,#N/A,FALSE,"Es-Fin";#N/A,#N/A,FALSE,"Margen-P"}</definedName>
    <definedName name="_bb3" localSheetId="6" hidden="1">{#N/A,#N/A,FALSE,"Hip.Bas";#N/A,#N/A,FALSE,"ventas";#N/A,#N/A,FALSE,"ingre-Año";#N/A,#N/A,FALSE,"ventas-Año";#N/A,#N/A,FALSE,"Costepro";#N/A,#N/A,FALSE,"inversion";#N/A,#N/A,FALSE,"personal";#N/A,#N/A,FALSE,"Gastos-V";#N/A,#N/A,FALSE,"Circulante";#N/A,#N/A,FALSE,"CONSOLI";#N/A,#N/A,FALSE,"Es-Fin";#N/A,#N/A,FALSE,"Margen-P"}</definedName>
    <definedName name="_bb3" localSheetId="1" hidden="1">{#N/A,#N/A,FALSE,"Hip.Bas";#N/A,#N/A,FALSE,"ventas";#N/A,#N/A,FALSE,"ingre-Año";#N/A,#N/A,FALSE,"ventas-Año";#N/A,#N/A,FALSE,"Costepro";#N/A,#N/A,FALSE,"inversion";#N/A,#N/A,FALSE,"personal";#N/A,#N/A,FALSE,"Gastos-V";#N/A,#N/A,FALSE,"Circulante";#N/A,#N/A,FALSE,"CONSOLI";#N/A,#N/A,FALSE,"Es-Fin";#N/A,#N/A,FALSE,"Margen-P"}</definedName>
    <definedName name="_bb3" localSheetId="7" hidden="1">{#N/A,#N/A,FALSE,"Hip.Bas";#N/A,#N/A,FALSE,"ventas";#N/A,#N/A,FALSE,"ingre-Año";#N/A,#N/A,FALSE,"ventas-Año";#N/A,#N/A,FALSE,"Costepro";#N/A,#N/A,FALSE,"inversion";#N/A,#N/A,FALSE,"personal";#N/A,#N/A,FALSE,"Gastos-V";#N/A,#N/A,FALSE,"Circulante";#N/A,#N/A,FALSE,"CONSOLI";#N/A,#N/A,FALSE,"Es-Fin";#N/A,#N/A,FALSE,"Margen-P"}</definedName>
    <definedName name="_bb3" localSheetId="2" hidden="1">{#N/A,#N/A,FALSE,"Hip.Bas";#N/A,#N/A,FALSE,"ventas";#N/A,#N/A,FALSE,"ingre-Año";#N/A,#N/A,FALSE,"ventas-Año";#N/A,#N/A,FALSE,"Costepro";#N/A,#N/A,FALSE,"inversion";#N/A,#N/A,FALSE,"personal";#N/A,#N/A,FALSE,"Gastos-V";#N/A,#N/A,FALSE,"Circulante";#N/A,#N/A,FALSE,"CONSOLI";#N/A,#N/A,FALSE,"Es-Fin";#N/A,#N/A,FALSE,"Margen-P"}</definedName>
    <definedName name="_bb3" hidden="1">{#N/A,#N/A,FALSE,"Hip.Bas";#N/A,#N/A,FALSE,"ventas";#N/A,#N/A,FALSE,"ingre-Año";#N/A,#N/A,FALSE,"ventas-Año";#N/A,#N/A,FALSE,"Costepro";#N/A,#N/A,FALSE,"inversion";#N/A,#N/A,FALSE,"personal";#N/A,#N/A,FALSE,"Gastos-V";#N/A,#N/A,FALSE,"Circulante";#N/A,#N/A,FALSE,"CONSOLI";#N/A,#N/A,FALSE,"Es-Fin";#N/A,#N/A,FALSE,"Margen-P"}</definedName>
    <definedName name="_bdm.16E3EF166D88478E9A191CDEB447369C.edm" hidden="1">#REF!</definedName>
    <definedName name="_bdm.18968945170C4F5CA639288DAE17CCF9.edm" hidden="1">#REF!</definedName>
    <definedName name="_bdm.1A097974184247BD8B7D3A4B1B7798A3.edm" hidden="1">#REF!</definedName>
    <definedName name="_bdm.1F893283B8CC497CB31EF233BE48FD54.edm" hidden="1">#REF!</definedName>
    <definedName name="_bdm.24053EC26E0E42C59D343B60F5359362.edm" hidden="1">#REF!</definedName>
    <definedName name="_bdm.2802879BE2FE4928A5B216B854501D54.edm" hidden="1">#REF!</definedName>
    <definedName name="_bdm.39459D8BBDD04332A9D942280B1EA3FD.edm" hidden="1">#REF!</definedName>
    <definedName name="_bdm.3D44F97329974CCA898E17BDECB9A46D.edm" hidden="1">#REF!</definedName>
    <definedName name="_bdm.4DAEA7B24F144A779BA9CFF4656F67C6.edm" hidden="1">#REF!</definedName>
    <definedName name="_bdm.4DE485F962164F04A9BC7EAB1559C7EC.edm" hidden="1">#REF!</definedName>
    <definedName name="_bdm.5C951DE7CEF3413CB284D2AB8DBE5472.edm" hidden="1">#REF!</definedName>
    <definedName name="_bdm.6E2CF51EE3FA489D95CB0284362218AF.edm" hidden="1">#REF!</definedName>
    <definedName name="_bdm.722924384BFC4E37BE27AB71CFB3D337.edm" hidden="1">#REF!</definedName>
    <definedName name="_bdm.86713E1E955644FF92F2EB7F3113F0DD.edm" localSheetId="9" hidden="1">#REF!</definedName>
    <definedName name="_bdm.86713E1E955644FF92F2EB7F3113F0DD.edm" localSheetId="6" hidden="1">#REF!</definedName>
    <definedName name="_bdm.86713E1E955644FF92F2EB7F3113F0DD.edm" localSheetId="7" hidden="1">#REF!</definedName>
    <definedName name="_bdm.86713E1E955644FF92F2EB7F3113F0DD.edm" hidden="1">#REF!</definedName>
    <definedName name="_bdm.88E59F6CD70547099CD8BA46974E0949.edm" hidden="1">#REF!</definedName>
    <definedName name="_bdm.900DD6E084D64DA782F698FA014CD096.edm" hidden="1">#REF!</definedName>
    <definedName name="_bdm.924C87CBA3FE4EA7B53C77B4D991A6A0.edm" hidden="1">#REF!</definedName>
    <definedName name="_bdm.A79F588BF2614D939269CCDA52812C6D.edm" hidden="1">#REF!</definedName>
    <definedName name="_bdm.A7D37ADB3A3040E4BDCC1755C1C6088C.edm" hidden="1">#REF!</definedName>
    <definedName name="_bdm.AC853950B3F545D4926B894230397BB2.edm" hidden="1">#REF!</definedName>
    <definedName name="_bdm.AD56EF9D0B094ED5B4D6BC0D9440D4F6.edm" hidden="1">#REF!</definedName>
    <definedName name="_bdm.BC81ABCFAA2749A0A9E2240434B14792.edm" hidden="1">#REF!</definedName>
    <definedName name="_bdm.BD317FAA4371447B977173A73F5531D4.edm" hidden="1">#REF!</definedName>
    <definedName name="_bdm.BD59F6D19C1A475E825F46042D768AB0.edm" hidden="1">#REF!</definedName>
    <definedName name="_bdm.BEB2F95F24B24EAB90138193071F1E29.edm" hidden="1">#REF!</definedName>
    <definedName name="_bdm.C07CD3D680EF4A06BECF1E32F7B7610E.edm" hidden="1">#REF!</definedName>
    <definedName name="_bdm.D412CDD30DA5427EBBC7528CBF85F081.edm" hidden="1">#REF!</definedName>
    <definedName name="_bdm.E041C6A9B8954528AADD8F7068C48F07.edm" hidden="1">#REF!</definedName>
    <definedName name="_bdm.E56B62D59AD54ABEB1916BA48C55254E.edm" hidden="1">#REF!</definedName>
    <definedName name="_bdm.E56F4A9B83C94D2596CC33A5474EB4E8.edm" hidden="1">#REF!</definedName>
    <definedName name="_bdm.E8142B1BF13243DCA4F041CB21944A34.edm" hidden="1">#REF!</definedName>
    <definedName name="_bdm.F06A0D734DB8408D8C173F683FFE59AD.edm" hidden="1">#REF!</definedName>
    <definedName name="_bdm.F9A76E8F2FDC484DB105176A94D78344.edm" hidden="1">#REF!</definedName>
    <definedName name="_bdm.FB51049EF56344D38D3633CD14F7B1FF.edm" hidden="1">#REF!</definedName>
    <definedName name="_bdm.FEA33AD468264489846F7312C498EB2F.edm" hidden="1">#REF!</definedName>
    <definedName name="_bdm.FEC99CB30DCC42E98F5EC88F47038578.edm" hidden="1">#REF!</definedName>
    <definedName name="_cc2" localSheetId="9" hidden="1">{#N/A,#N/A,FALSE,"Hip.Bas";#N/A,#N/A,FALSE,"ventas";#N/A,#N/A,FALSE,"ingre-Año";#N/A,#N/A,FALSE,"ventas-Año";#N/A,#N/A,FALSE,"Costepro";#N/A,#N/A,FALSE,"inversion";#N/A,#N/A,FALSE,"personal";#N/A,#N/A,FALSE,"Gastos-V";#N/A,#N/A,FALSE,"Circulante";#N/A,#N/A,FALSE,"CONSOLI";#N/A,#N/A,FALSE,"Es-Fin";#N/A,#N/A,FALSE,"Margen-P"}</definedName>
    <definedName name="_cc2" localSheetId="6" hidden="1">{#N/A,#N/A,FALSE,"Hip.Bas";#N/A,#N/A,FALSE,"ventas";#N/A,#N/A,FALSE,"ingre-Año";#N/A,#N/A,FALSE,"ventas-Año";#N/A,#N/A,FALSE,"Costepro";#N/A,#N/A,FALSE,"inversion";#N/A,#N/A,FALSE,"personal";#N/A,#N/A,FALSE,"Gastos-V";#N/A,#N/A,FALSE,"Circulante";#N/A,#N/A,FALSE,"CONSOLI";#N/A,#N/A,FALSE,"Es-Fin";#N/A,#N/A,FALSE,"Margen-P"}</definedName>
    <definedName name="_cc2" localSheetId="1" hidden="1">{#N/A,#N/A,FALSE,"Hip.Bas";#N/A,#N/A,FALSE,"ventas";#N/A,#N/A,FALSE,"ingre-Año";#N/A,#N/A,FALSE,"ventas-Año";#N/A,#N/A,FALSE,"Costepro";#N/A,#N/A,FALSE,"inversion";#N/A,#N/A,FALSE,"personal";#N/A,#N/A,FALSE,"Gastos-V";#N/A,#N/A,FALSE,"Circulante";#N/A,#N/A,FALSE,"CONSOLI";#N/A,#N/A,FALSE,"Es-Fin";#N/A,#N/A,FALSE,"Margen-P"}</definedName>
    <definedName name="_cc2" localSheetId="7" hidden="1">{#N/A,#N/A,FALSE,"Hip.Bas";#N/A,#N/A,FALSE,"ventas";#N/A,#N/A,FALSE,"ingre-Año";#N/A,#N/A,FALSE,"ventas-Año";#N/A,#N/A,FALSE,"Costepro";#N/A,#N/A,FALSE,"inversion";#N/A,#N/A,FALSE,"personal";#N/A,#N/A,FALSE,"Gastos-V";#N/A,#N/A,FALSE,"Circulante";#N/A,#N/A,FALSE,"CONSOLI";#N/A,#N/A,FALSE,"Es-Fin";#N/A,#N/A,FALSE,"Margen-P"}</definedName>
    <definedName name="_cc2" localSheetId="2" hidden="1">{#N/A,#N/A,FALSE,"Hip.Bas";#N/A,#N/A,FALSE,"ventas";#N/A,#N/A,FALSE,"ingre-Año";#N/A,#N/A,FALSE,"ventas-Año";#N/A,#N/A,FALSE,"Costepro";#N/A,#N/A,FALSE,"inversion";#N/A,#N/A,FALSE,"personal";#N/A,#N/A,FALSE,"Gastos-V";#N/A,#N/A,FALSE,"Circulante";#N/A,#N/A,FALSE,"CONSOLI";#N/A,#N/A,FALSE,"Es-Fin";#N/A,#N/A,FALSE,"Margen-P"}</definedName>
    <definedName name="_cc2" hidden="1">{#N/A,#N/A,FALSE,"Hip.Bas";#N/A,#N/A,FALSE,"ventas";#N/A,#N/A,FALSE,"ingre-Año";#N/A,#N/A,FALSE,"ventas-Año";#N/A,#N/A,FALSE,"Costepro";#N/A,#N/A,FALSE,"inversion";#N/A,#N/A,FALSE,"personal";#N/A,#N/A,FALSE,"Gastos-V";#N/A,#N/A,FALSE,"Circulante";#N/A,#N/A,FALSE,"CONSOLI";#N/A,#N/A,FALSE,"Es-Fin";#N/A,#N/A,FALSE,"Margen-P"}</definedName>
    <definedName name="_cc3" localSheetId="9" hidden="1">{#N/A,#N/A,FALSE,"Hip.Bas";#N/A,#N/A,FALSE,"ventas";#N/A,#N/A,FALSE,"ingre-Año";#N/A,#N/A,FALSE,"ventas-Año";#N/A,#N/A,FALSE,"Costepro";#N/A,#N/A,FALSE,"inversion";#N/A,#N/A,FALSE,"personal";#N/A,#N/A,FALSE,"Gastos-V";#N/A,#N/A,FALSE,"Circulante";#N/A,#N/A,FALSE,"CONSOLI";#N/A,#N/A,FALSE,"Es-Fin";#N/A,#N/A,FALSE,"Margen-P"}</definedName>
    <definedName name="_cc3" localSheetId="6" hidden="1">{#N/A,#N/A,FALSE,"Hip.Bas";#N/A,#N/A,FALSE,"ventas";#N/A,#N/A,FALSE,"ingre-Año";#N/A,#N/A,FALSE,"ventas-Año";#N/A,#N/A,FALSE,"Costepro";#N/A,#N/A,FALSE,"inversion";#N/A,#N/A,FALSE,"personal";#N/A,#N/A,FALSE,"Gastos-V";#N/A,#N/A,FALSE,"Circulante";#N/A,#N/A,FALSE,"CONSOLI";#N/A,#N/A,FALSE,"Es-Fin";#N/A,#N/A,FALSE,"Margen-P"}</definedName>
    <definedName name="_cc3" localSheetId="1" hidden="1">{#N/A,#N/A,FALSE,"Hip.Bas";#N/A,#N/A,FALSE,"ventas";#N/A,#N/A,FALSE,"ingre-Año";#N/A,#N/A,FALSE,"ventas-Año";#N/A,#N/A,FALSE,"Costepro";#N/A,#N/A,FALSE,"inversion";#N/A,#N/A,FALSE,"personal";#N/A,#N/A,FALSE,"Gastos-V";#N/A,#N/A,FALSE,"Circulante";#N/A,#N/A,FALSE,"CONSOLI";#N/A,#N/A,FALSE,"Es-Fin";#N/A,#N/A,FALSE,"Margen-P"}</definedName>
    <definedName name="_cc3" localSheetId="7" hidden="1">{#N/A,#N/A,FALSE,"Hip.Bas";#N/A,#N/A,FALSE,"ventas";#N/A,#N/A,FALSE,"ingre-Año";#N/A,#N/A,FALSE,"ventas-Año";#N/A,#N/A,FALSE,"Costepro";#N/A,#N/A,FALSE,"inversion";#N/A,#N/A,FALSE,"personal";#N/A,#N/A,FALSE,"Gastos-V";#N/A,#N/A,FALSE,"Circulante";#N/A,#N/A,FALSE,"CONSOLI";#N/A,#N/A,FALSE,"Es-Fin";#N/A,#N/A,FALSE,"Margen-P"}</definedName>
    <definedName name="_cc3" localSheetId="2" hidden="1">{#N/A,#N/A,FALSE,"Hip.Bas";#N/A,#N/A,FALSE,"ventas";#N/A,#N/A,FALSE,"ingre-Año";#N/A,#N/A,FALSE,"ventas-Año";#N/A,#N/A,FALSE,"Costepro";#N/A,#N/A,FALSE,"inversion";#N/A,#N/A,FALSE,"personal";#N/A,#N/A,FALSE,"Gastos-V";#N/A,#N/A,FALSE,"Circulante";#N/A,#N/A,FALSE,"CONSOLI";#N/A,#N/A,FALSE,"Es-Fin";#N/A,#N/A,FALSE,"Margen-P"}</definedName>
    <definedName name="_cc3" hidden="1">{#N/A,#N/A,FALSE,"Hip.Bas";#N/A,#N/A,FALSE,"ventas";#N/A,#N/A,FALSE,"ingre-Año";#N/A,#N/A,FALSE,"ventas-Año";#N/A,#N/A,FALSE,"Costepro";#N/A,#N/A,FALSE,"inversion";#N/A,#N/A,FALSE,"personal";#N/A,#N/A,FALSE,"Gastos-V";#N/A,#N/A,FALSE,"Circulante";#N/A,#N/A,FALSE,"CONSOLI";#N/A,#N/A,FALSE,"Es-Fin";#N/A,#N/A,FALSE,"Margen-P"}</definedName>
    <definedName name="_cc4" localSheetId="9" hidden="1">{#N/A,#N/A,FALSE,"Hip.Bas";#N/A,#N/A,FALSE,"ventas";#N/A,#N/A,FALSE,"ingre-Año";#N/A,#N/A,FALSE,"ventas-Año";#N/A,#N/A,FALSE,"Costepro";#N/A,#N/A,FALSE,"inversion";#N/A,#N/A,FALSE,"personal";#N/A,#N/A,FALSE,"Gastos-V";#N/A,#N/A,FALSE,"Circulante";#N/A,#N/A,FALSE,"CONSOLI";#N/A,#N/A,FALSE,"Es-Fin";#N/A,#N/A,FALSE,"Margen-P"}</definedName>
    <definedName name="_cc4" localSheetId="6" hidden="1">{#N/A,#N/A,FALSE,"Hip.Bas";#N/A,#N/A,FALSE,"ventas";#N/A,#N/A,FALSE,"ingre-Año";#N/A,#N/A,FALSE,"ventas-Año";#N/A,#N/A,FALSE,"Costepro";#N/A,#N/A,FALSE,"inversion";#N/A,#N/A,FALSE,"personal";#N/A,#N/A,FALSE,"Gastos-V";#N/A,#N/A,FALSE,"Circulante";#N/A,#N/A,FALSE,"CONSOLI";#N/A,#N/A,FALSE,"Es-Fin";#N/A,#N/A,FALSE,"Margen-P"}</definedName>
    <definedName name="_cc4" localSheetId="1" hidden="1">{#N/A,#N/A,FALSE,"Hip.Bas";#N/A,#N/A,FALSE,"ventas";#N/A,#N/A,FALSE,"ingre-Año";#N/A,#N/A,FALSE,"ventas-Año";#N/A,#N/A,FALSE,"Costepro";#N/A,#N/A,FALSE,"inversion";#N/A,#N/A,FALSE,"personal";#N/A,#N/A,FALSE,"Gastos-V";#N/A,#N/A,FALSE,"Circulante";#N/A,#N/A,FALSE,"CONSOLI";#N/A,#N/A,FALSE,"Es-Fin";#N/A,#N/A,FALSE,"Margen-P"}</definedName>
    <definedName name="_cc4" localSheetId="7" hidden="1">{#N/A,#N/A,FALSE,"Hip.Bas";#N/A,#N/A,FALSE,"ventas";#N/A,#N/A,FALSE,"ingre-Año";#N/A,#N/A,FALSE,"ventas-Año";#N/A,#N/A,FALSE,"Costepro";#N/A,#N/A,FALSE,"inversion";#N/A,#N/A,FALSE,"personal";#N/A,#N/A,FALSE,"Gastos-V";#N/A,#N/A,FALSE,"Circulante";#N/A,#N/A,FALSE,"CONSOLI";#N/A,#N/A,FALSE,"Es-Fin";#N/A,#N/A,FALSE,"Margen-P"}</definedName>
    <definedName name="_cc4" localSheetId="2" hidden="1">{#N/A,#N/A,FALSE,"Hip.Bas";#N/A,#N/A,FALSE,"ventas";#N/A,#N/A,FALSE,"ingre-Año";#N/A,#N/A,FALSE,"ventas-Año";#N/A,#N/A,FALSE,"Costepro";#N/A,#N/A,FALSE,"inversion";#N/A,#N/A,FALSE,"personal";#N/A,#N/A,FALSE,"Gastos-V";#N/A,#N/A,FALSE,"Circulante";#N/A,#N/A,FALSE,"CONSOLI";#N/A,#N/A,FALSE,"Es-Fin";#N/A,#N/A,FALSE,"Margen-P"}</definedName>
    <definedName name="_cc4" hidden="1">{#N/A,#N/A,FALSE,"Hip.Bas";#N/A,#N/A,FALSE,"ventas";#N/A,#N/A,FALSE,"ingre-Año";#N/A,#N/A,FALSE,"ventas-Año";#N/A,#N/A,FALSE,"Costepro";#N/A,#N/A,FALSE,"inversion";#N/A,#N/A,FALSE,"personal";#N/A,#N/A,FALSE,"Gastos-V";#N/A,#N/A,FALSE,"Circulante";#N/A,#N/A,FALSE,"CONSOLI";#N/A,#N/A,FALSE,"Es-Fin";#N/A,#N/A,FALSE,"Margen-P"}</definedName>
    <definedName name="_cov1">#REF!</definedName>
    <definedName name="_cov2">#REF!</definedName>
    <definedName name="_cov3">#REF!</definedName>
    <definedName name="_cov4">#REF!</definedName>
    <definedName name="_DAT1">#REF!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CF2">#REF!</definedName>
    <definedName name="_iia2">#REF!</definedName>
    <definedName name="_Key1" hidden="1">#REF!</definedName>
    <definedName name="_op2">#REF!</definedName>
    <definedName name="_Order1" hidden="1">0</definedName>
    <definedName name="_Order2" hidden="1">0</definedName>
    <definedName name="_rev2">#REF!</definedName>
    <definedName name="_Sort" hidden="1">#REF!</definedName>
    <definedName name="_SYN1">#REF!</definedName>
    <definedName name="_SYN2">#REF!</definedName>
    <definedName name="_Table2_In1" hidden="1">#REF!</definedName>
    <definedName name="_Table2_In2" hidden="1">#REF!</definedName>
    <definedName name="_Table2_Out" hidden="1">#REF!</definedName>
    <definedName name="_UST10">#REF!</definedName>
    <definedName name="a">#REF!</definedName>
    <definedName name="A.IndexPos">#N/A</definedName>
    <definedName name="A.NewPricePaste">#N/A</definedName>
    <definedName name="A.NewPriceRow">#N/A</definedName>
    <definedName name="A.VolPos">#N/A</definedName>
    <definedName name="accrued">#REF!</definedName>
    <definedName name="ACQ">#REF!</definedName>
    <definedName name="acqnumber">#REF!</definedName>
    <definedName name="acqrevgrowth">#REF!</definedName>
    <definedName name="actual_start_year">1993</definedName>
    <definedName name="Adj">#REF!</definedName>
    <definedName name="afas" localSheetId="9" hidden="1">'Assumption 2 Documentation'!afas</definedName>
    <definedName name="afas" localSheetId="6" hidden="1">'Assumptions 1 Documentation'!afas</definedName>
    <definedName name="afas" localSheetId="7" hidden="1">GDP!afas</definedName>
    <definedName name="afas" hidden="1">[0]!afas</definedName>
    <definedName name="amort">#REF!</definedName>
    <definedName name="Annualization_Factor">69.03/54.876539</definedName>
    <definedName name="anscount" hidden="1">1</definedName>
    <definedName name="anumber">#REF!</definedName>
    <definedName name="ardays">#REF!</definedName>
    <definedName name="arevgrowth">#REF!</definedName>
    <definedName name="as" hidden="1">"c2895"</definedName>
    <definedName name="asasa" localSheetId="9" hidden="1">'Assumption 2 Documentation'!asasa</definedName>
    <definedName name="asasa" localSheetId="6" hidden="1">'Assumptions 1 Documentation'!asasa</definedName>
    <definedName name="asasa" localSheetId="7" hidden="1">GDP!asasa</definedName>
    <definedName name="asasa" hidden="1">[0]!asasa</definedName>
    <definedName name="asd" localSheetId="9" hidden="1">'Assumption 2 Documentation'!asd</definedName>
    <definedName name="asd" localSheetId="6" hidden="1">'Assumptions 1 Documentation'!asd</definedName>
    <definedName name="asd" localSheetId="7" hidden="1">GDP!asd</definedName>
    <definedName name="asd" hidden="1">[0]!asd</definedName>
    <definedName name="asf" localSheetId="9" hidden="1">{"bs",#N/A,FALSE,"SCF"}</definedName>
    <definedName name="asf" localSheetId="6" hidden="1">{"bs",#N/A,FALSE,"SCF"}</definedName>
    <definedName name="asf" localSheetId="7" hidden="1">{"bs",#N/A,FALSE,"SCF"}</definedName>
    <definedName name="asf" hidden="1">{"bs",#N/A,FALSE,"SCF"}</definedName>
    <definedName name="asfa" localSheetId="9">'Assumption 2 Documentation'!asfa</definedName>
    <definedName name="asfa" localSheetId="6">'Assumptions 1 Documentation'!asfa</definedName>
    <definedName name="asfa" localSheetId="7">GDP!asfa</definedName>
    <definedName name="asfa">[0]!asfa</definedName>
    <definedName name="asfasfas" localSheetId="9">'Assumption 2 Documentation'!asfasfas</definedName>
    <definedName name="asfasfas" localSheetId="6">'Assumptions 1 Documentation'!asfasfas</definedName>
    <definedName name="asfasfas" localSheetId="7">GDP!asfasfas</definedName>
    <definedName name="asfasfas">[0]!asfasfas</definedName>
    <definedName name="asfasfsa" localSheetId="9">'Assumption 2 Documentation'!asfasfsa</definedName>
    <definedName name="asfasfsa" localSheetId="6">'Assumptions 1 Documentation'!asfasfsa</definedName>
    <definedName name="asfasfsa" localSheetId="7">GDP!asfasfsa</definedName>
    <definedName name="asfasfsa">[0]!asfasfsa</definedName>
    <definedName name="asfdasfs" localSheetId="9">'Assumption 2 Documentation'!asfdasfs</definedName>
    <definedName name="asfdasfs" localSheetId="6">'Assumptions 1 Documentation'!asfdasfs</definedName>
    <definedName name="asfdasfs" localSheetId="7">GDP!asfdasfs</definedName>
    <definedName name="asfdasfs">[0]!asfdasfs</definedName>
    <definedName name="asfsaf" localSheetId="9">'Assumption 2 Documentation'!asfsaf</definedName>
    <definedName name="asfsaf" localSheetId="6">'Assumptions 1 Documentation'!asfsaf</definedName>
    <definedName name="asfsaf" localSheetId="7">GDP!asfsaf</definedName>
    <definedName name="asfsaf">[0]!asfsaf</definedName>
    <definedName name="asfsafa" localSheetId="9">'Assumption 2 Documentation'!asfsafa</definedName>
    <definedName name="asfsafa" localSheetId="6">'Assumptions 1 Documentation'!asfsafa</definedName>
    <definedName name="asfsafa" localSheetId="7">GDP!asfsafa</definedName>
    <definedName name="asfsafa">[0]!asfsafa</definedName>
    <definedName name="asfsafs" localSheetId="9" hidden="1">'Assumption 2 Documentation'!asfsafs</definedName>
    <definedName name="asfsafs" localSheetId="6" hidden="1">'Assumptions 1 Documentation'!asfsafs</definedName>
    <definedName name="asfsafs" localSheetId="7" hidden="1">GDP!asfsafs</definedName>
    <definedName name="asfsafs" hidden="1">[0]!asfsafs</definedName>
    <definedName name="asfsasa" localSheetId="9">'Assumption 2 Documentation'!asfsasa</definedName>
    <definedName name="asfsasa" localSheetId="6">'Assumptions 1 Documentation'!asfsasa</definedName>
    <definedName name="asfsasa" localSheetId="7">GDP!asfsasa</definedName>
    <definedName name="asfsasa">[0]!asfsasa</definedName>
    <definedName name="asset">#REF!</definedName>
    <definedName name="assume_acq_print">#REF!</definedName>
    <definedName name="assume_new_print">#REF!</definedName>
    <definedName name="ASSUMP_PL">#REF!</definedName>
    <definedName name="B.Close" localSheetId="8">OFFSET([0]!P.Close,[0]!P.LastRow,0,1,1)</definedName>
    <definedName name="B.Close" localSheetId="9">OFFSET([0]!P.Close,[0]!P.LastRow,0,1,1)</definedName>
    <definedName name="B.Close" localSheetId="6">OFFSET([0]!P.Close,[0]!P.LastRow,0,1,1)</definedName>
    <definedName name="B.Close" localSheetId="1">OFFSET([0]!P.Close,[0]!P.LastRow,0,1,1)</definedName>
    <definedName name="B.Close" localSheetId="7">OFFSET([0]!P.Close,[0]!P.LastRow,0,1,1)</definedName>
    <definedName name="B.Close" localSheetId="2">OFFSET([0]!P.Close,[0]!P.LastRow,0,1,1)</definedName>
    <definedName name="B.Close">OFFSET([0]!P.Close,[0]!P.LastRow,0,1,1)</definedName>
    <definedName name="B.Comp" localSheetId="8">OFFSET([0]!P.Comp,[0]!P.LastRow,0,1,1)</definedName>
    <definedName name="B.Comp" localSheetId="9">OFFSET([0]!P.Comp,[0]!P.LastRow,0,1,1)</definedName>
    <definedName name="B.Comp" localSheetId="6">OFFSET([0]!P.Comp,[0]!P.LastRow,0,1,1)</definedName>
    <definedName name="B.Comp" localSheetId="1">OFFSET([0]!P.Comp,[0]!P.LastRow,0,1,1)</definedName>
    <definedName name="B.Comp" localSheetId="7">OFFSET([0]!P.Comp,[0]!P.LastRow,0,1,1)</definedName>
    <definedName name="B.Comp" localSheetId="2">OFFSET([0]!P.Comp,[0]!P.LastRow,0,1,1)</definedName>
    <definedName name="B.Comp">OFFSET([0]!P.Comp,[0]!P.LastRow,0,1,1)</definedName>
    <definedName name="B.High">#N/A</definedName>
    <definedName name="B.Low">#N/A</definedName>
    <definedName name="B.OldPriceData">#N/A</definedName>
    <definedName name="B.OldPriceRow">#N/A</definedName>
    <definedName name="B.Vol">#N/A</definedName>
    <definedName name="BACK_A">#REF!</definedName>
    <definedName name="BackFromItemSelect" localSheetId="9">'Assumption 2 Documentation'!BackFromItemSelect</definedName>
    <definedName name="BackFromItemSelect" localSheetId="6">'Assumptions 1 Documentation'!BackFromItemSelect</definedName>
    <definedName name="BackFromItemSelect" localSheetId="7">GDP!BackFromItemSelect</definedName>
    <definedName name="BackFromItemSelect">[0]!BackFromItemSelect</definedName>
    <definedName name="bal_acq_print">#REF!</definedName>
    <definedName name="bal_new_print">#REF!</definedName>
    <definedName name="BAL_SHT">#REF!</definedName>
    <definedName name="balance">#REF!</definedName>
    <definedName name="bass">#REF!</definedName>
    <definedName name="BLPH15" hidden="1">#REF!</definedName>
    <definedName name="BLPH19" hidden="1">#REF!</definedName>
    <definedName name="BLPH23" hidden="1">#REF!</definedName>
    <definedName name="BLPH27" hidden="1">#REF!</definedName>
    <definedName name="BLPH5" hidden="1">#REF!</definedName>
    <definedName name="BLPH65" hidden="1">#REF!</definedName>
    <definedName name="BLPH69" hidden="1">#REF!</definedName>
    <definedName name="bnumber">#REF!</definedName>
    <definedName name="brevgrowth">#REF!</definedName>
    <definedName name="bridge">#REF!</definedName>
    <definedName name="bRight" localSheetId="9">'Assumption 2 Documentation'!bRight</definedName>
    <definedName name="bRight" localSheetId="6">'Assumptions 1 Documentation'!bRight</definedName>
    <definedName name="bRight" localSheetId="7">GDP!bRight</definedName>
    <definedName name="bRight">[0]!bRight</definedName>
    <definedName name="bs">#REF!</definedName>
    <definedName name="BS_A">#REF!</definedName>
    <definedName name="BS_CF">#REF!</definedName>
    <definedName name="BSDate">#REF!</definedName>
    <definedName name="BSHEET">#REF!</definedName>
    <definedName name="C.Close">#N/A</definedName>
    <definedName name="C.Comp">#N/A</definedName>
    <definedName name="C.Date">#N/A</definedName>
    <definedName name="C.High">#N/A</definedName>
    <definedName name="C.Low">#N/A</definedName>
    <definedName name="C.Vol">#N/A</definedName>
    <definedName name="Capex">#REF!</definedName>
    <definedName name="caps">#REF!</definedName>
    <definedName name="Case">#REF!</definedName>
    <definedName name="casenumber">#REF!</definedName>
    <definedName name="cash">#REF!</definedName>
    <definedName name="CASH_FLOW_STMT">#REF!</definedName>
    <definedName name="CF_acq_print">#REF!</definedName>
    <definedName name="CF_new_print">#REF!</definedName>
    <definedName name="cflow">#REF!</definedName>
    <definedName name="ChangeRange" localSheetId="9" hidden="1">'Assumption 2 Documentation'!ChangeRange</definedName>
    <definedName name="ChangeRange" localSheetId="6" hidden="1">'Assumptions 1 Documentation'!ChangeRange</definedName>
    <definedName name="ChangeRange" localSheetId="7" hidden="1">GDP!ChangeRange</definedName>
    <definedName name="ChangeRange" hidden="1">[0]!ChangeRange</definedName>
    <definedName name="ChangeSize" localSheetId="9">'Assumption 2 Documentation'!ChangeSize</definedName>
    <definedName name="ChangeSize" localSheetId="6">'Assumptions 1 Documentation'!ChangeSize</definedName>
    <definedName name="ChangeSize" localSheetId="7">GDP!ChangeSize</definedName>
    <definedName name="ChangeSize">[0]!ChangeSize</definedName>
    <definedName name="ChartOptions" localSheetId="9">'Assumption 2 Documentation'!ChartOptions</definedName>
    <definedName name="ChartOptions" localSheetId="6">'Assumptions 1 Documentation'!ChartOptions</definedName>
    <definedName name="ChartOptions" localSheetId="7">GDP!ChartOptions</definedName>
    <definedName name="ChartOptions">[0]!ChartOptions</definedName>
    <definedName name="ChartTypeChange" localSheetId="9">'Assumption 2 Documentation'!ChartTypeChange</definedName>
    <definedName name="ChartTypeChange" localSheetId="6">'Assumptions 1 Documentation'!ChartTypeChange</definedName>
    <definedName name="ChartTypeChange" localSheetId="7">GDP!ChartTypeChange</definedName>
    <definedName name="ChartTypeChange">[0]!ChartTypeChange</definedName>
    <definedName name="CIQWBGuid" hidden="1">"DCF Pics_10.1.12.xls"</definedName>
    <definedName name="ClosePrint" localSheetId="8">'AS2'!ClosePrint</definedName>
    <definedName name="ClosePrint" localSheetId="9">'Assumption 2 Documentation'!ClosePrint</definedName>
    <definedName name="ClosePrint" localSheetId="6">'Assumptions 1 Documentation'!ClosePrint</definedName>
    <definedName name="ClosePrint" localSheetId="1">DCF!ClosePrint</definedName>
    <definedName name="ClosePrint" localSheetId="7">GDP!ClosePrint</definedName>
    <definedName name="ClosePrint" localSheetId="2">NWC!ClosePrint</definedName>
    <definedName name="ClosePrint">[0]!ClosePrint</definedName>
    <definedName name="cnumber">#REF!</definedName>
    <definedName name="COCO">#REF!</definedName>
    <definedName name="cogs">#REF!</definedName>
    <definedName name="cogs2">#REF!</definedName>
    <definedName name="COMB">#REF!</definedName>
    <definedName name="COMBBS">#REF!</definedName>
    <definedName name="CommonShares">#REF!</definedName>
    <definedName name="CompanyChangeSize" localSheetId="9">'Assumption 2 Documentation'!CompanyChangeSize</definedName>
    <definedName name="CompanyChangeSize" localSheetId="6">'Assumptions 1 Documentation'!CompanyChangeSize</definedName>
    <definedName name="CompanyChangeSize" localSheetId="7">GDP!CompanyChangeSize</definedName>
    <definedName name="CompanyChangeSize">[0]!CompanyChangeSize</definedName>
    <definedName name="CompanyLookup" localSheetId="9">'Assumption 2 Documentation'!CompanyLookup</definedName>
    <definedName name="CompanyLookup" localSheetId="6">'Assumptions 1 Documentation'!CompanyLookup</definedName>
    <definedName name="CompanyLookup" localSheetId="7">GDP!CompanyLookup</definedName>
    <definedName name="CompanyLookup">[0]!CompanyLookup</definedName>
    <definedName name="CompanyName">#REF!</definedName>
    <definedName name="CompgraphHelp" localSheetId="9">'Assumption 2 Documentation'!CompgraphHelp</definedName>
    <definedName name="CompgraphHelp" localSheetId="6">'Assumptions 1 Documentation'!CompgraphHelp</definedName>
    <definedName name="CompgraphHelp" localSheetId="7">GDP!CompgraphHelp</definedName>
    <definedName name="CompgraphHelp">[0]!CompgraphHelp</definedName>
    <definedName name="complookup" localSheetId="9">'Assumption 2 Documentation'!complookup</definedName>
    <definedName name="complookup" localSheetId="6">'Assumptions 1 Documentation'!complookup</definedName>
    <definedName name="complookup" localSheetId="7">GDP!complookup</definedName>
    <definedName name="complookup">[0]!complookup</definedName>
    <definedName name="compname">#REF!</definedName>
    <definedName name="CompositeBuilder" localSheetId="9">'Assumption 2 Documentation'!CompositeBuilder</definedName>
    <definedName name="CompositeBuilder" localSheetId="6">'Assumptions 1 Documentation'!CompositeBuilder</definedName>
    <definedName name="CompositeBuilder" localSheetId="7">GDP!CompositeBuilder</definedName>
    <definedName name="CompositeBuilder">[0]!CompositeBuilder</definedName>
    <definedName name="ContentsHelp" localSheetId="9" hidden="1">'Assumption 2 Documentation'!ContentsHelp</definedName>
    <definedName name="ContentsHelp" localSheetId="6" hidden="1">'Assumptions 1 Documentation'!ContentsHelp</definedName>
    <definedName name="ContentsHelp" localSheetId="7" hidden="1">GDP!ContentsHelp</definedName>
    <definedName name="ContentsHelp" hidden="1">[0]!ContentsHelp</definedName>
    <definedName name="CONTRIB">#REF!</definedName>
    <definedName name="ConversionPremium">#REF!</definedName>
    <definedName name="ConversionPrice">#REF!</definedName>
    <definedName name="coppsdgp">#REF!</definedName>
    <definedName name="coppsdrev">#REF!</definedName>
    <definedName name="coppsdsga">#REF!</definedName>
    <definedName name="coppsgp">#REF!</definedName>
    <definedName name="coppsrev">#REF!</definedName>
    <definedName name="coppssga">#REF!</definedName>
    <definedName name="corpexp">#REF!</definedName>
    <definedName name="Corporate_Expense_Growth">5%</definedName>
    <definedName name="COS">#REF!</definedName>
    <definedName name="CoSelectorOutputs" localSheetId="9">'Assumption 2 Documentation'!CoSelectorOutputs</definedName>
    <definedName name="CoSelectorOutputs" localSheetId="6">'Assumptions 1 Documentation'!CoSelectorOutputs</definedName>
    <definedName name="CoSelectorOutputs" localSheetId="7">GDP!CoSelectorOutputs</definedName>
    <definedName name="CoSelectorOutputs">[0]!CoSelectorOutputs</definedName>
    <definedName name="Costofsales">#REF!</definedName>
    <definedName name="cov2a">#REF!</definedName>
    <definedName name="cov4a">#REF!</definedName>
    <definedName name="cover_print">#REF!</definedName>
    <definedName name="Cpxsavings">#REF!</definedName>
    <definedName name="CreateTable" localSheetId="9" hidden="1">'Assumption 2 Documentation'!CreateTable</definedName>
    <definedName name="CreateTable" localSheetId="6" hidden="1">'Assumptions 1 Documentation'!CreateTable</definedName>
    <definedName name="CreateTable" localSheetId="7" hidden="1">GDP!CreateTable</definedName>
    <definedName name="CreateTable" hidden="1">[0]!CreateTable</definedName>
    <definedName name="crevgrowh">#REF!</definedName>
    <definedName name="crevgrowth">#REF!</definedName>
    <definedName name="crystal">#REF!</definedName>
    <definedName name="cstorenumber">#REF!</definedName>
    <definedName name="Currency">#REF!</definedName>
    <definedName name="CustomChart" localSheetId="9">'Assumption 2 Documentation'!CustomChart</definedName>
    <definedName name="CustomChart" localSheetId="6">'Assumptions 1 Documentation'!CustomChart</definedName>
    <definedName name="CustomChart" localSheetId="7">GDP!CustomChart</definedName>
    <definedName name="CustomChart">[0]!CustomChart</definedName>
    <definedName name="cxv"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xv"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xv"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xv"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CypressInvest">#REF!</definedName>
    <definedName name="CypressOwn">#REF!</definedName>
    <definedName name="d" localSheetId="9">'Assumption 2 Documentation'!d</definedName>
    <definedName name="d" localSheetId="6">'Assumptions 1 Documentation'!d</definedName>
    <definedName name="d" localSheetId="7">GDP!d</definedName>
    <definedName name="d">[0]!d</definedName>
    <definedName name="d.BTick">#REF!</definedName>
    <definedName name="D.CompTickarray" localSheetId="8">{"SPAL","00000117","Price","S&amp;P 500","I0003"}</definedName>
    <definedName name="D.CompTickarray" localSheetId="9">{"SPAL","00000117","Price","S&amp;P 500","I0003"}</definedName>
    <definedName name="D.CompTickarray" localSheetId="6">{"SPAL","00000117","Price","S&amp;P 500","I0003"}</definedName>
    <definedName name="D.CompTickarray" localSheetId="1">{"SPAL","00000117","Price","S&amp;P 500","I0003"}</definedName>
    <definedName name="D.CompTickarray" localSheetId="7">{"SPAL","00000117","Price","S&amp;P 500","I0003"}</definedName>
    <definedName name="D.CompTickarray" localSheetId="2">{"SPAL","00000117","Price","S&amp;P 500","I0003"}</definedName>
    <definedName name="D.CompTickarray">{"SPAL","00000117","Price","S&amp;P 500","I0003"}</definedName>
    <definedName name="D.Tickarray" localSheetId="8">{"wac","93439010","Price"}</definedName>
    <definedName name="D.Tickarray" localSheetId="9">{"wac","93439010","Price"}</definedName>
    <definedName name="D.Tickarray" localSheetId="6">{"wac","93439010","Price"}</definedName>
    <definedName name="D.Tickarray" localSheetId="1">{"wac","93439010","Price"}</definedName>
    <definedName name="D.Tickarray" localSheetId="7">{"wac","93439010","Price"}</definedName>
    <definedName name="D.Tickarray" localSheetId="2">{"wac","93439010","Price"}</definedName>
    <definedName name="D.Tickarray">{"wac","93439010","Price"}</definedName>
    <definedName name="DAC">"acquiror"</definedName>
    <definedName name="das" localSheetId="9">'Assumption 2 Documentation'!das</definedName>
    <definedName name="das" localSheetId="6">'Assumptions 1 Documentation'!das</definedName>
    <definedName name="das" localSheetId="7">GDP!das</definedName>
    <definedName name="das">[0]!das</definedName>
    <definedName name="data">#REF!</definedName>
    <definedName name="_xlnm.Database">#REF!</definedName>
    <definedName name="Dataset1">#REF!</definedName>
    <definedName name="Dataset2">#REF!</definedName>
    <definedName name="date">#REF!</definedName>
    <definedName name="Days">#REF!</definedName>
    <definedName name="DB.AllColumns">#N/A</definedName>
    <definedName name="DB.AllPriceColumns">#N/A</definedName>
    <definedName name="DB.NumColumns" localSheetId="8">COLUMN([0]!Q.DateEOM)-COLUMN([0]!P.Date)+1</definedName>
    <definedName name="DB.NumColumns" localSheetId="9">COLUMN([0]!Q.DateEOM)-COLUMN([0]!P.Date)+1</definedName>
    <definedName name="DB.NumColumns" localSheetId="6">COLUMN([0]!Q.DateEOM)-COLUMN([0]!P.Date)+1</definedName>
    <definedName name="DB.NumColumns" localSheetId="1">COLUMN([0]!Q.DateEOM)-COLUMN([0]!P.Date)+1</definedName>
    <definedName name="DB.NumColumns" localSheetId="7">COLUMN([0]!Q.DateEOM)-COLUMN([0]!P.Date)+1</definedName>
    <definedName name="DB.NumColumns" localSheetId="2">COLUMN([0]!Q.DateEOM)-COLUMN([0]!P.Date)+1</definedName>
    <definedName name="DB.NumColumns">COLUMN([0]!Q.DateEOM)-COLUMN([0]!P.Date)+1</definedName>
    <definedName name="DB.NumColumnsPriceOnly" localSheetId="8">COLUMN([0]!P.CompIndex)-COLUMN([0]!P.Date)+1</definedName>
    <definedName name="DB.NumColumnsPriceOnly" localSheetId="9">COLUMN([0]!P.CompIndex)-COLUMN([0]!P.Date)+1</definedName>
    <definedName name="DB.NumColumnsPriceOnly" localSheetId="6">COLUMN([0]!P.CompIndex)-COLUMN([0]!P.Date)+1</definedName>
    <definedName name="DB.NumColumnsPriceOnly" localSheetId="1">COLUMN([0]!P.CompIndex)-COLUMN([0]!P.Date)+1</definedName>
    <definedName name="DB.NumColumnsPriceOnly" localSheetId="7">COLUMN([0]!P.CompIndex)-COLUMN([0]!P.Date)+1</definedName>
    <definedName name="DB.NumColumnsPriceOnly" localSheetId="2">COLUMN([0]!P.CompIndex)-COLUMN([0]!P.Date)+1</definedName>
    <definedName name="DB.NumColumnsPriceOnly">COLUMN([0]!P.CompIndex)-COLUMN([0]!P.Date)+1</definedName>
    <definedName name="DB.Range1">#N/A</definedName>
    <definedName name="DCF">#REF!</definedName>
    <definedName name="DCF_A">#REF!</definedName>
    <definedName name="DCF_A2">#REF!</definedName>
    <definedName name="DCF_print">#REF!</definedName>
    <definedName name="DCF_sense_print">#REF!</definedName>
    <definedName name="dcomp">#REF!</definedName>
    <definedName name="dcomp2">#REF!</definedName>
    <definedName name="debt">#REF!</definedName>
    <definedName name="DebtEBITDA">#REF!</definedName>
    <definedName name="deftax">#REF!</definedName>
    <definedName name="DeleteRange" localSheetId="9" hidden="1">'Assumption 2 Documentation'!DeleteRange</definedName>
    <definedName name="DeleteRange" localSheetId="6" hidden="1">'Assumptions 1 Documentation'!DeleteRange</definedName>
    <definedName name="DeleteRange" localSheetId="7" hidden="1">GDP!DeleteRange</definedName>
    <definedName name="DeleteRange" hidden="1">[0]!DeleteRange</definedName>
    <definedName name="DeleteTable" localSheetId="9" hidden="1">'Assumption 2 Documentation'!DeleteTable</definedName>
    <definedName name="DeleteTable" localSheetId="6" hidden="1">'Assumptions 1 Documentation'!DeleteTable</definedName>
    <definedName name="DeleteTable" localSheetId="7" hidden="1">GDP!DeleteTable</definedName>
    <definedName name="DeleteTable" hidden="1">[0]!DeleteTable</definedName>
    <definedName name="Denomination">#REF!</definedName>
    <definedName name="Dep">#REF!</definedName>
    <definedName name="depr_RATE">#REF!</definedName>
    <definedName name="dfdf"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df"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df"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d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g"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dfg"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dfg"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dfg"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dfgd" localSheetId="9" hidden="1">'Assumption 2 Documentation'!dfgd</definedName>
    <definedName name="dfgd" localSheetId="6" hidden="1">'Assumptions 1 Documentation'!dfgd</definedName>
    <definedName name="dfgd" localSheetId="7" hidden="1">GDP!dfgd</definedName>
    <definedName name="dfgd" hidden="1">[0]!dfgd</definedName>
    <definedName name="dfgfd" localSheetId="9" hidden="1">{"Clothing PL",#N/A,FALSE,"H1H2";"Food PL",#N/A,FALSE,"H1H2";"Group PL",#N/A,FALSE,"H1H2";"Home Furnishings PL",#N/A,FALSE,"H1H2";"LFL assumptions",#N/A,FALSE,"H1H2";"Sales by division",#N/A,FALSE,"H1H2";"UK Retail PL",#N/A,FALSE,"H1H2"}</definedName>
    <definedName name="dfgfd" localSheetId="6" hidden="1">{"Clothing PL",#N/A,FALSE,"H1H2";"Food PL",#N/A,FALSE,"H1H2";"Group PL",#N/A,FALSE,"H1H2";"Home Furnishings PL",#N/A,FALSE,"H1H2";"LFL assumptions",#N/A,FALSE,"H1H2";"Sales by division",#N/A,FALSE,"H1H2";"UK Retail PL",#N/A,FALSE,"H1H2"}</definedName>
    <definedName name="dfgfd" localSheetId="7" hidden="1">{"Clothing PL",#N/A,FALSE,"H1H2";"Food PL",#N/A,FALSE,"H1H2";"Group PL",#N/A,FALSE,"H1H2";"Home Furnishings PL",#N/A,FALSE,"H1H2";"LFL assumptions",#N/A,FALSE,"H1H2";"Sales by division",#N/A,FALSE,"H1H2";"UK Retail PL",#N/A,FALSE,"H1H2"}</definedName>
    <definedName name="dfgfd" hidden="1">{"Clothing PL",#N/A,FALSE,"H1H2";"Food PL",#N/A,FALSE,"H1H2";"Group PL",#N/A,FALSE,"H1H2";"Home Furnishings PL",#N/A,FALSE,"H1H2";"LFL assumptions",#N/A,FALSE,"H1H2";"Sales by division",#N/A,FALSE,"H1H2";"UK Retail PL",#N/A,FALSE,"H1H2"}</definedName>
    <definedName name="dfgfdg" localSheetId="9" hidden="1">'Assumption 2 Documentation'!dfgfdg</definedName>
    <definedName name="dfgfdg" localSheetId="6" hidden="1">'Assumptions 1 Documentation'!dfgfdg</definedName>
    <definedName name="dfgfdg" localSheetId="7" hidden="1">GDP!dfgfdg</definedName>
    <definedName name="dfgfdg" hidden="1">[0]!dfgfdg</definedName>
    <definedName name="dfsalk" localSheetId="9">'Assumption 2 Documentation'!dfsalk</definedName>
    <definedName name="dfsalk" localSheetId="6">'Assumptions 1 Documentation'!dfsalk</definedName>
    <definedName name="dfsalk" localSheetId="7">GDP!dfsalk</definedName>
    <definedName name="dfsalk">[0]!dfsalk</definedName>
    <definedName name="dfsgdfg" localSheetId="9" hidden="1">{"Clothing PL",#N/A,FALSE,"H1H2";"Food PL",#N/A,FALSE,"H1H2";"Group PL",#N/A,FALSE,"H1H2";"Home Furnishings PL",#N/A,FALSE,"H1H2"}</definedName>
    <definedName name="dfsgdfg" localSheetId="6" hidden="1">{"Clothing PL",#N/A,FALSE,"H1H2";"Food PL",#N/A,FALSE,"H1H2";"Group PL",#N/A,FALSE,"H1H2";"Home Furnishings PL",#N/A,FALSE,"H1H2"}</definedName>
    <definedName name="dfsgdfg" localSheetId="7" hidden="1">{"Clothing PL",#N/A,FALSE,"H1H2";"Food PL",#N/A,FALSE,"H1H2";"Group PL",#N/A,FALSE,"H1H2";"Home Furnishings PL",#N/A,FALSE,"H1H2"}</definedName>
    <definedName name="dfsgdfg" hidden="1">{"Clothing PL",#N/A,FALSE,"H1H2";"Food PL",#N/A,FALSE,"H1H2";"Group PL",#N/A,FALSE,"H1H2";"Home Furnishings PL",#N/A,FALSE,"H1H2"}</definedName>
    <definedName name="dfsgfd" localSheetId="9" hidden="1">{"cap_structure",#N/A,FALSE,"Graph-Mkt Cap";"price",#N/A,FALSE,"Graph-Price";"ebit",#N/A,FALSE,"Graph-EBITDA";"ebitda",#N/A,FALSE,"Graph-EBITDA"}</definedName>
    <definedName name="dfsgfd" localSheetId="6" hidden="1">{"cap_structure",#N/A,FALSE,"Graph-Mkt Cap";"price",#N/A,FALSE,"Graph-Price";"ebit",#N/A,FALSE,"Graph-EBITDA";"ebitda",#N/A,FALSE,"Graph-EBITDA"}</definedName>
    <definedName name="dfsgfd" localSheetId="7" hidden="1">{"cap_structure",#N/A,FALSE,"Graph-Mkt Cap";"price",#N/A,FALSE,"Graph-Price";"ebit",#N/A,FALSE,"Graph-EBITDA";"ebitda",#N/A,FALSE,"Graph-EBITDA"}</definedName>
    <definedName name="dfsgfd" hidden="1">{"cap_structure",#N/A,FALSE,"Graph-Mkt Cap";"price",#N/A,FALSE,"Graph-Price";"ebit",#N/A,FALSE,"Graph-EBITDA";"ebitda",#N/A,FALSE,"Graph-EBITDA"}</definedName>
    <definedName name="dfsgg" localSheetId="9" hidden="1">{"inputs raw data",#N/A,TRUE,"INPUT"}</definedName>
    <definedName name="dfsgg" localSheetId="6" hidden="1">{"inputs raw data",#N/A,TRUE,"INPUT"}</definedName>
    <definedName name="dfsgg" localSheetId="7" hidden="1">{"inputs raw data",#N/A,TRUE,"INPUT"}</definedName>
    <definedName name="dfsgg" hidden="1">{"inputs raw data",#N/A,TRUE,"INPUT"}</definedName>
    <definedName name="dfwefew" localSheetId="9" hidden="1">{#N/A,#N/A,FALSE,"Hip.Bas";#N/A,#N/A,FALSE,"ventas";#N/A,#N/A,FALSE,"ingre-Año";#N/A,#N/A,FALSE,"ventas-Año";#N/A,#N/A,FALSE,"Costepro";#N/A,#N/A,FALSE,"inversion";#N/A,#N/A,FALSE,"personal";#N/A,#N/A,FALSE,"Gastos-V";#N/A,#N/A,FALSE,"Circulante";#N/A,#N/A,FALSE,"CONSOLI";#N/A,#N/A,FALSE,"Es-Fin";#N/A,#N/A,FALSE,"Margen-P"}</definedName>
    <definedName name="dfwefew" localSheetId="6" hidden="1">{#N/A,#N/A,FALSE,"Hip.Bas";#N/A,#N/A,FALSE,"ventas";#N/A,#N/A,FALSE,"ingre-Año";#N/A,#N/A,FALSE,"ventas-Año";#N/A,#N/A,FALSE,"Costepro";#N/A,#N/A,FALSE,"inversion";#N/A,#N/A,FALSE,"personal";#N/A,#N/A,FALSE,"Gastos-V";#N/A,#N/A,FALSE,"Circulante";#N/A,#N/A,FALSE,"CONSOLI";#N/A,#N/A,FALSE,"Es-Fin";#N/A,#N/A,FALSE,"Margen-P"}</definedName>
    <definedName name="dfwefew" localSheetId="7" hidden="1">{#N/A,#N/A,FALSE,"Hip.Bas";#N/A,#N/A,FALSE,"ventas";#N/A,#N/A,FALSE,"ingre-Año";#N/A,#N/A,FALSE,"ventas-Año";#N/A,#N/A,FALSE,"Costepro";#N/A,#N/A,FALSE,"inversion";#N/A,#N/A,FALSE,"personal";#N/A,#N/A,FALSE,"Gastos-V";#N/A,#N/A,FALSE,"Circulante";#N/A,#N/A,FALSE,"CONSOLI";#N/A,#N/A,FALSE,"Es-Fin";#N/A,#N/A,FALSE,"Margen-P"}</definedName>
    <definedName name="dfwefew" hidden="1">{#N/A,#N/A,FALSE,"Hip.Bas";#N/A,#N/A,FALSE,"ventas";#N/A,#N/A,FALSE,"ingre-Año";#N/A,#N/A,FALSE,"ventas-Año";#N/A,#N/A,FALSE,"Costepro";#N/A,#N/A,FALSE,"inversion";#N/A,#N/A,FALSE,"personal";#N/A,#N/A,FALSE,"Gastos-V";#N/A,#N/A,FALSE,"Circulante";#N/A,#N/A,FALSE,"CONSOLI";#N/A,#N/A,FALSE,"Es-Fin";#N/A,#N/A,FALSE,"Margen-P"}</definedName>
    <definedName name="dgdfgf" localSheetId="9" hidden="1">{"Page1",#N/A,FALSE,"CompCo";"Page2",#N/A,FALSE,"CompCo"}</definedName>
    <definedName name="dgdfgf" localSheetId="6" hidden="1">{"Page1",#N/A,FALSE,"CompCo";"Page2",#N/A,FALSE,"CompCo"}</definedName>
    <definedName name="dgdfgf" localSheetId="7" hidden="1">{"Page1",#N/A,FALSE,"CompCo";"Page2",#N/A,FALSE,"CompCo"}</definedName>
    <definedName name="dgdfgf" hidden="1">{"Page1",#N/A,FALSE,"CompCo";"Page2",#N/A,FALSE,"CompCo"}</definedName>
    <definedName name="directfin">#REF!</definedName>
    <definedName name="DismissItemDlog" localSheetId="9">'Assumption 2 Documentation'!DismissItemDlog</definedName>
    <definedName name="DismissItemDlog" localSheetId="6">'Assumptions 1 Documentation'!DismissItemDlog</definedName>
    <definedName name="DismissItemDlog" localSheetId="7">GDP!DismissItemDlog</definedName>
    <definedName name="DismissItemDlog">[0]!DismissItemDlog</definedName>
    <definedName name="dist">#REF!</definedName>
    <definedName name="distgp">#REF!</definedName>
    <definedName name="Distributionexp">#REF!</definedName>
    <definedName name="distsga">#REF!</definedName>
    <definedName name="Division">#REF!</definedName>
    <definedName name="ds" localSheetId="9" hidden="1">{"Page1",#N/A,FALSE,"CompCo";"Page2",#N/A,FALSE,"CompCo"}</definedName>
    <definedName name="ds" localSheetId="6" hidden="1">{"Page1",#N/A,FALSE,"CompCo";"Page2",#N/A,FALSE,"CompCo"}</definedName>
    <definedName name="ds" localSheetId="7" hidden="1">{"Page1",#N/A,FALSE,"CompCo";"Page2",#N/A,FALSE,"CompCo"}</definedName>
    <definedName name="ds" hidden="1">{"Page1",#N/A,FALSE,"CompCo";"Page2",#N/A,FALSE,"CompCo"}</definedName>
    <definedName name="dsfdsfsd" localSheetId="9">'Assumption 2 Documentation'!dsfdsfsd</definedName>
    <definedName name="dsfdsfsd" localSheetId="6">'Assumptions 1 Documentation'!dsfdsfsd</definedName>
    <definedName name="dsfdsfsd" localSheetId="7">GDP!dsfdsfsd</definedName>
    <definedName name="dsfdsfsd">[0]!dsfdsfsd</definedName>
    <definedName name="dsfgdsgf"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dsg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dsfgfdg" localSheetId="9" hidden="1">{"bs",#N/A,FALSE,"SCF"}</definedName>
    <definedName name="dsfgfdg" localSheetId="6" hidden="1">{"bs",#N/A,FALSE,"SCF"}</definedName>
    <definedName name="dsfgfdg" localSheetId="7" hidden="1">{"bs",#N/A,FALSE,"SCF"}</definedName>
    <definedName name="dsfgfdg" hidden="1">{"bs",#N/A,FALSE,"SCF"}</definedName>
    <definedName name="dsfsd" localSheetId="9">'Assumption 2 Documentation'!dsfsd</definedName>
    <definedName name="dsfsd" localSheetId="6">'Assumptions 1 Documentation'!dsfsd</definedName>
    <definedName name="dsfsd" localSheetId="7">GDP!dsfsd</definedName>
    <definedName name="dsfsd">[0]!dsfsd</definedName>
    <definedName name="dsfsdfd" localSheetId="9">'Assumption 2 Documentation'!dsfsdfd</definedName>
    <definedName name="dsfsdfd" localSheetId="6">'Assumptions 1 Documentation'!dsfsdfd</definedName>
    <definedName name="dsfsdfd" localSheetId="7">GDP!dsfsdfd</definedName>
    <definedName name="dsfsdfd">[0]!dsfsdfd</definedName>
    <definedName name="dsg" localSheetId="9" hidden="1">{"Clothing PL",#N/A,FALSE,"H1H2";"Food PL",#N/A,FALSE,"H1H2";"Group PL",#N/A,FALSE,"H1H2";"Home Furnishings PL",#N/A,FALSE,"H1H2";"LFL assumptions",#N/A,FALSE,"H1H2";"Sales by division",#N/A,FALSE,"H1H2";"UK Retail PL",#N/A,FALSE,"H1H2"}</definedName>
    <definedName name="dsg" localSheetId="6" hidden="1">{"Clothing PL",#N/A,FALSE,"H1H2";"Food PL",#N/A,FALSE,"H1H2";"Group PL",#N/A,FALSE,"H1H2";"Home Furnishings PL",#N/A,FALSE,"H1H2";"LFL assumptions",#N/A,FALSE,"H1H2";"Sales by division",#N/A,FALSE,"H1H2";"UK Retail PL",#N/A,FALSE,"H1H2"}</definedName>
    <definedName name="dsg" localSheetId="7" hidden="1">{"Clothing PL",#N/A,FALSE,"H1H2";"Food PL",#N/A,FALSE,"H1H2";"Group PL",#N/A,FALSE,"H1H2";"Home Furnishings PL",#N/A,FALSE,"H1H2";"LFL assumptions",#N/A,FALSE,"H1H2";"Sales by division",#N/A,FALSE,"H1H2";"UK Retail PL",#N/A,FALSE,"H1H2"}</definedName>
    <definedName name="dsg" hidden="1">{"Clothing PL",#N/A,FALSE,"H1H2";"Food PL",#N/A,FALSE,"H1H2";"Group PL",#N/A,FALSE,"H1H2";"Home Furnishings PL",#N/A,FALSE,"H1H2";"LFL assumptions",#N/A,FALSE,"H1H2";"Sales by division",#N/A,FALSE,"H1H2";"UK Retail PL",#N/A,FALSE,"H1H2"}</definedName>
    <definedName name="dsgdf" localSheetId="9" hidden="1">{"Page1",#N/A,FALSE,"CompCo";"Page2",#N/A,FALSE,"CompCo"}</definedName>
    <definedName name="dsgdf" localSheetId="6" hidden="1">{"Page1",#N/A,FALSE,"CompCo";"Page2",#N/A,FALSE,"CompCo"}</definedName>
    <definedName name="dsgdf" localSheetId="7" hidden="1">{"Page1",#N/A,FALSE,"CompCo";"Page2",#N/A,FALSE,"CompCo"}</definedName>
    <definedName name="dsgdf" hidden="1">{"Page1",#N/A,FALSE,"CompCo";"Page2",#N/A,FALSE,"CompCo"}</definedName>
    <definedName name="dsgfds"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sgfds"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tax">#REF!</definedName>
    <definedName name="dtax2">#REF!</definedName>
    <definedName name="e" localSheetId="9" hidden="1">'Assumption 2 Documentation'!e</definedName>
    <definedName name="e" localSheetId="6" hidden="1">'Assumptions 1 Documentation'!e</definedName>
    <definedName name="e" localSheetId="7" hidden="1">GDP!e</definedName>
    <definedName name="e" hidden="1">[0]!e</definedName>
    <definedName name="EARNINGSSTMNT">#REF!</definedName>
    <definedName name="ebit3">#REF!</definedName>
    <definedName name="EBIT95">#REF!</definedName>
    <definedName name="EBITDA">#REF!</definedName>
    <definedName name="EBITDA_Fluid">#REF!</definedName>
    <definedName name="EBITDA_NVH">#REF!</definedName>
    <definedName name="EBITDA_Sealing">#REF!</definedName>
    <definedName name="EBITSENS">#REF!</definedName>
    <definedName name="editgraph" localSheetId="9">'Assumption 2 Documentation'!editgraph</definedName>
    <definedName name="editgraph" localSheetId="6">'Assumptions 1 Documentation'!editgraph</definedName>
    <definedName name="editgraph" localSheetId="7">GDP!editgraph</definedName>
    <definedName name="editgraph">[0]!editgraph</definedName>
    <definedName name="efds" localSheetId="9" hidden="1">{#N/A,#N/A,FALSE,"H1H2";"Sales by division",#N/A,FALSE,"H1H2";"LFL assumptions",#N/A,FALSE,"H1H2"}</definedName>
    <definedName name="efds" localSheetId="6" hidden="1">{#N/A,#N/A,FALSE,"H1H2";"Sales by division",#N/A,FALSE,"H1H2";"LFL assumptions",#N/A,FALSE,"H1H2"}</definedName>
    <definedName name="efds" localSheetId="7" hidden="1">{#N/A,#N/A,FALSE,"H1H2";"Sales by division",#N/A,FALSE,"H1H2";"LFL assumptions",#N/A,FALSE,"H1H2"}</definedName>
    <definedName name="efds" hidden="1">{#N/A,#N/A,FALSE,"H1H2";"Sales by division",#N/A,FALSE,"H1H2";"LFL assumptions",#N/A,FALSE,"H1H2"}</definedName>
    <definedName name="efsd" localSheetId="9" hidden="1">'Assumption 2 Documentation'!efsd</definedName>
    <definedName name="efsd" localSheetId="6" hidden="1">'Assumptions 1 Documentation'!efsd</definedName>
    <definedName name="efsd" localSheetId="7" hidden="1">GDP!efsd</definedName>
    <definedName name="efsd" hidden="1">[0]!efsd</definedName>
    <definedName name="eldgp">#REF!</definedName>
    <definedName name="eldrev">#REF!</definedName>
    <definedName name="eldsga">#REF!</definedName>
    <definedName name="Elim">#REF!</definedName>
    <definedName name="enable" localSheetId="9">'Assumption 2 Documentation'!enable</definedName>
    <definedName name="enable" localSheetId="6">'Assumptions 1 Documentation'!enable</definedName>
    <definedName name="enable" localSheetId="7">GDP!enable</definedName>
    <definedName name="enable">[0]!enable</definedName>
    <definedName name="ENTVAL">#REF!</definedName>
    <definedName name="EPS">#REF!</definedName>
    <definedName name="EQ_RETS">#REF!</definedName>
    <definedName name="EQVAL">#REF!</definedName>
    <definedName name="er" localSheetId="9" hidden="1">'Assumption 2 Documentation'!er</definedName>
    <definedName name="er" localSheetId="6" hidden="1">'Assumptions 1 Documentation'!er</definedName>
    <definedName name="er" localSheetId="7" hidden="1">GDP!er</definedName>
    <definedName name="er" hidden="1">[0]!er</definedName>
    <definedName name="ere" localSheetId="9" hidden="1">{"Clothing PL",#N/A,FALSE,"H1H2";"Food PL",#N/A,FALSE,"H1H2";"Group PL",#N/A,FALSE,"H1H2";"Home Furnishings PL",#N/A,FALSE,"H1H2";"LFL assumptions",#N/A,FALSE,"H1H2";"Sales by division",#N/A,FALSE,"H1H2";"UK Retail PL",#N/A,FALSE,"H1H2"}</definedName>
    <definedName name="ere" localSheetId="6" hidden="1">{"Clothing PL",#N/A,FALSE,"H1H2";"Food PL",#N/A,FALSE,"H1H2";"Group PL",#N/A,FALSE,"H1H2";"Home Furnishings PL",#N/A,FALSE,"H1H2";"LFL assumptions",#N/A,FALSE,"H1H2";"Sales by division",#N/A,FALSE,"H1H2";"UK Retail PL",#N/A,FALSE,"H1H2"}</definedName>
    <definedName name="ere" localSheetId="7" hidden="1">{"Clothing PL",#N/A,FALSE,"H1H2";"Food PL",#N/A,FALSE,"H1H2";"Group PL",#N/A,FALSE,"H1H2";"Home Furnishings PL",#N/A,FALSE,"H1H2";"LFL assumptions",#N/A,FALSE,"H1H2";"Sales by division",#N/A,FALSE,"H1H2";"UK Retail PL",#N/A,FALSE,"H1H2"}</definedName>
    <definedName name="ere" hidden="1">{"Clothing PL",#N/A,FALSE,"H1H2";"Food PL",#N/A,FALSE,"H1H2";"Group PL",#N/A,FALSE,"H1H2";"Home Furnishings PL",#N/A,FALSE,"H1H2";"LFL assumptions",#N/A,FALSE,"H1H2";"Sales by division",#N/A,FALSE,"H1H2";"UK Retail PL",#N/A,FALSE,"H1H2"}</definedName>
    <definedName name="erg" localSheetId="9" hidden="1">{"summary1",#N/A,TRUE,"Comps";"summary2",#N/A,TRUE,"Comps";"summary3",#N/A,TRUE,"Comps"}</definedName>
    <definedName name="erg" localSheetId="6" hidden="1">{"summary1",#N/A,TRUE,"Comps";"summary2",#N/A,TRUE,"Comps";"summary3",#N/A,TRUE,"Comps"}</definedName>
    <definedName name="erg" localSheetId="7" hidden="1">{"summary1",#N/A,TRUE,"Comps";"summary2",#N/A,TRUE,"Comps";"summary3",#N/A,TRUE,"Comps"}</definedName>
    <definedName name="erg" hidden="1">{"summary1",#N/A,TRUE,"Comps";"summary2",#N/A,TRUE,"Comps";"summary3",#N/A,TRUE,"Comps"}</definedName>
    <definedName name="err" localSheetId="9">'Assumption 2 Documentation'!err</definedName>
    <definedName name="err" localSheetId="6">'Assumptions 1 Documentation'!err</definedName>
    <definedName name="err" localSheetId="7">GDP!err</definedName>
    <definedName name="err">[0]!err</definedName>
    <definedName name="ErrChk">#REF!</definedName>
    <definedName name="erre" localSheetId="9" hidden="1">{"inputs raw data",#N/A,TRUE,"INPUT"}</definedName>
    <definedName name="erre" localSheetId="6" hidden="1">{"inputs raw data",#N/A,TRUE,"INPUT"}</definedName>
    <definedName name="erre" localSheetId="7" hidden="1">{"inputs raw data",#N/A,TRUE,"INPUT"}</definedName>
    <definedName name="erre" hidden="1">{"inputs raw data",#N/A,TRUE,"INPUT"}</definedName>
    <definedName name="ErrMsg">"NA"</definedName>
    <definedName name="evansga">#REF!</definedName>
    <definedName name="evansgp">#REF!</definedName>
    <definedName name="evansrev">#REF!</definedName>
    <definedName name="eweqwf" localSheetId="9" hidden="1">{"bs",#N/A,FALSE,"SCF"}</definedName>
    <definedName name="eweqwf" localSheetId="6" hidden="1">{"bs",#N/A,FALSE,"SCF"}</definedName>
    <definedName name="eweqwf" localSheetId="7" hidden="1">{"bs",#N/A,FALSE,"SCF"}</definedName>
    <definedName name="eweqwf" hidden="1">{"bs",#N/A,FALSE,"SCF"}</definedName>
    <definedName name="ewf" localSheetId="9" hidden="1">'Assumption 2 Documentation'!ewf</definedName>
    <definedName name="ewf" localSheetId="6" hidden="1">'Assumptions 1 Documentation'!ewf</definedName>
    <definedName name="ewf" localSheetId="7" hidden="1">GDP!ewf</definedName>
    <definedName name="ewf" hidden="1">[0]!ewf</definedName>
    <definedName name="ewggwe" localSheetId="9">'Assumption 2 Documentation'!ewggwe</definedName>
    <definedName name="ewggwe" localSheetId="6">'Assumptions 1 Documentation'!ewggwe</definedName>
    <definedName name="ewggwe" localSheetId="7">GDP!ewggwe</definedName>
    <definedName name="ewggwe">[0]!ewggwe</definedName>
    <definedName name="ewgweg" localSheetId="9">'Assumption 2 Documentation'!ewgweg</definedName>
    <definedName name="ewgweg" localSheetId="6">'Assumptions 1 Documentation'!ewgweg</definedName>
    <definedName name="ewgweg" localSheetId="7">GDP!ewgweg</definedName>
    <definedName name="ewgweg">[0]!ewgweg</definedName>
    <definedName name="ewr" localSheetId="9" hidden="1">{"cap_structure",#N/A,FALSE,"Graph-Mkt Cap";"price",#N/A,FALSE,"Graph-Price";"ebit",#N/A,FALSE,"Graph-EBITDA";"ebitda",#N/A,FALSE,"Graph-EBITDA"}</definedName>
    <definedName name="ewr" localSheetId="6" hidden="1">{"cap_structure",#N/A,FALSE,"Graph-Mkt Cap";"price",#N/A,FALSE,"Graph-Price";"ebit",#N/A,FALSE,"Graph-EBITDA";"ebitda",#N/A,FALSE,"Graph-EBITDA"}</definedName>
    <definedName name="ewr" localSheetId="7" hidden="1">{"cap_structure",#N/A,FALSE,"Graph-Mkt Cap";"price",#N/A,FALSE,"Graph-Price";"ebit",#N/A,FALSE,"Graph-EBITDA";"ebitda",#N/A,FALSE,"Graph-EBITDA"}</definedName>
    <definedName name="ewr" hidden="1">{"cap_structure",#N/A,FALSE,"Graph-Mkt Cap";"price",#N/A,FALSE,"Graph-Price";"ebit",#N/A,FALSE,"Graph-EBITDA";"ebitda",#N/A,FALSE,"Graph-EBITDA"}</definedName>
    <definedName name="ExitCompanySelector" localSheetId="9">'Assumption 2 Documentation'!ExitCompanySelector</definedName>
    <definedName name="ExitCompanySelector" localSheetId="6">'Assumptions 1 Documentation'!ExitCompanySelector</definedName>
    <definedName name="ExitCompanySelector" localSheetId="7">GDP!ExitCompanySelector</definedName>
    <definedName name="ExitCompanySelector">[0]!ExitCompanySelector</definedName>
    <definedName name="ExitFormat" localSheetId="9">'Assumption 2 Documentation'!ExitFormat</definedName>
    <definedName name="ExitFormat" localSheetId="6">'Assumptions 1 Documentation'!ExitFormat</definedName>
    <definedName name="ExitFormat" localSheetId="7">GDP!ExitFormat</definedName>
    <definedName name="ExitFormat">[0]!ExitFormat</definedName>
    <definedName name="ExitItemBuilder" localSheetId="9">'Assumption 2 Documentation'!ExitItemBuilder</definedName>
    <definedName name="ExitItemBuilder" localSheetId="6">'Assumptions 1 Documentation'!ExitItemBuilder</definedName>
    <definedName name="ExitItemBuilder" localSheetId="7">GDP!ExitItemBuilder</definedName>
    <definedName name="ExitItemBuilder">[0]!ExitItemBuilder</definedName>
    <definedName name="exitMainMenu" localSheetId="9">'Assumption 2 Documentation'!exitMainMenu</definedName>
    <definedName name="exitMainMenu" localSheetId="6">'Assumptions 1 Documentation'!exitMainMenu</definedName>
    <definedName name="exitMainMenu" localSheetId="7">GDP!exitMainMenu</definedName>
    <definedName name="exitMainMenu">[0]!exitMainMenu</definedName>
    <definedName name="exitmsg" localSheetId="9">'Assumption 2 Documentation'!exitmsg</definedName>
    <definedName name="exitmsg" localSheetId="6">'Assumptions 1 Documentation'!exitmsg</definedName>
    <definedName name="exitmsg" localSheetId="7">GDP!exitmsg</definedName>
    <definedName name="exitmsg">[0]!exitmsg</definedName>
    <definedName name="ExitNetDebt">#REF!</definedName>
    <definedName name="ExitValue">#REF!</definedName>
    <definedName name="ExitYear">#REF!</definedName>
    <definedName name="Expenses">#REF!</definedName>
    <definedName name="f" localSheetId="9">'Assumption 2 Documentation'!f</definedName>
    <definedName name="f" localSheetId="6">'Assumptions 1 Documentation'!f</definedName>
    <definedName name="f" localSheetId="7">GDP!f</definedName>
    <definedName name="f">[0]!f</definedName>
    <definedName name="F.CompIndex">#N/A</definedName>
    <definedName name="F.Date">IF(N(#REF!)=#REF!,#REF!,DATEVALUE(#REF!))</definedName>
    <definedName name="F.Date2">#N/A</definedName>
    <definedName name="F.Date4">#N/A</definedName>
    <definedName name="F.DateEOM">DATE(YEAR(#REF!),MONTH(#REF!)+1,DAY(#REF!)-1)</definedName>
    <definedName name="F.PE">#N/A</definedName>
    <definedName name="F.Yield">#N/A</definedName>
    <definedName name="fadskj" localSheetId="9">'Assumption 2 Documentation'!fadskj</definedName>
    <definedName name="fadskj" localSheetId="6">'Assumptions 1 Documentation'!fadskj</definedName>
    <definedName name="fadskj" localSheetId="7">GDP!fadskj</definedName>
    <definedName name="fadskj">[0]!fadskj</definedName>
    <definedName name="fdfg" localSheetId="9" hidden="1">'Assumption 2 Documentation'!fdfg</definedName>
    <definedName name="fdfg" localSheetId="6" hidden="1">'Assumptions 1 Documentation'!fdfg</definedName>
    <definedName name="fdfg" localSheetId="7" hidden="1">GDP!fdfg</definedName>
    <definedName name="fdfg" hidden="1">[0]!fdfg</definedName>
    <definedName name="fdg" localSheetId="9" hidden="1">'Assumption 2 Documentation'!fdg</definedName>
    <definedName name="fdg" localSheetId="6" hidden="1">'Assumptions 1 Documentation'!fdg</definedName>
    <definedName name="fdg" localSheetId="7" hidden="1">GDP!fdg</definedName>
    <definedName name="fdg" hidden="1">[0]!fdg</definedName>
    <definedName name="fdgdfgdf" localSheetId="9" hidden="1">{"Page1",#N/A,FALSE,"CompCo";"Page2",#N/A,FALSE,"CompCo"}</definedName>
    <definedName name="fdgdfgdf" localSheetId="6" hidden="1">{"Page1",#N/A,FALSE,"CompCo";"Page2",#N/A,FALSE,"CompCo"}</definedName>
    <definedName name="fdgdfgdf" localSheetId="7" hidden="1">{"Page1",#N/A,FALSE,"CompCo";"Page2",#N/A,FALSE,"CompCo"}</definedName>
    <definedName name="fdgdfgdf" hidden="1">{"Page1",#N/A,FALSE,"CompCo";"Page2",#N/A,FALSE,"CompCo"}</definedName>
    <definedName name="fdgsdg" localSheetId="9" hidden="1">'Assumption 2 Documentation'!fdgsdg</definedName>
    <definedName name="fdgsdg" localSheetId="6" hidden="1">'Assumptions 1 Documentation'!fdgsdg</definedName>
    <definedName name="fdgsdg" localSheetId="7" hidden="1">GDP!fdgsdg</definedName>
    <definedName name="fdgsdg" hidden="1">[0]!fdgsdg</definedName>
    <definedName name="fds" localSheetId="9">'Assumption 2 Documentation'!fds</definedName>
    <definedName name="fds" localSheetId="6">'Assumptions 1 Documentation'!fds</definedName>
    <definedName name="fds" localSheetId="7">GDP!fds</definedName>
    <definedName name="fds">[0]!fds</definedName>
    <definedName name="fdsdsf" localSheetId="9">'Assumption 2 Documentation'!fdsdsf</definedName>
    <definedName name="fdsdsf" localSheetId="6">'Assumptions 1 Documentation'!fdsdsf</definedName>
    <definedName name="fdsdsf" localSheetId="7">GDP!fdsdsf</definedName>
    <definedName name="fdsdsf">[0]!fdsdsf</definedName>
    <definedName name="fewfwefew" localSheetId="9" hidden="1">'Assumption 2 Documentation'!fewfwefew</definedName>
    <definedName name="fewfwefew" localSheetId="6" hidden="1">'Assumptions 1 Documentation'!fewfwefew</definedName>
    <definedName name="fewfwefew" localSheetId="7" hidden="1">GDP!fewfwefew</definedName>
    <definedName name="fewfwefew" hidden="1">[0]!fewfwefew</definedName>
    <definedName name="fg" localSheetId="9" hidden="1">'Assumption 2 Documentation'!fg</definedName>
    <definedName name="fg" localSheetId="6" hidden="1">'Assumptions 1 Documentation'!fg</definedName>
    <definedName name="fg" localSheetId="7" hidden="1">GDP!fg</definedName>
    <definedName name="fg" hidden="1">[0]!fg</definedName>
    <definedName name="fgdsfgdf"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fgdsfgdf" hidden="1">{TRUE,TRUE,-1.25,-15.5,604.5,369,FALSE,FALSE,TRUE,TRUE,0,1,83,1,38,4,5,4,TRUE,TRUE,3,TRUE,1,TRUE,75,"Swvu.inputs._.raw._.data.","ACwvu.inputs._.raw._.data.",#N/A,FALSE,FALSE,0.5,0.5,0.5,0.5,2,"&amp;F","&amp;A&amp;RPage &amp;P",FALSE,FALSE,FALSE,FALSE,1,60,#N/A,#N/A,"=R1C61:R53C89","=C1:C5",#N/A,#N/A,FALSE,FALSE,FALSE,1,600,600,FALSE,FALSE,TRUE,TRUE,TRUE}</definedName>
    <definedName name="fghj" localSheetId="9" hidden="1">'Assumption 2 Documentation'!fghj</definedName>
    <definedName name="fghj" localSheetId="6" hidden="1">'Assumptions 1 Documentation'!fghj</definedName>
    <definedName name="fghj" localSheetId="7" hidden="1">GDP!fghj</definedName>
    <definedName name="fghj" hidden="1">[0]!fghj</definedName>
    <definedName name="FiscalYearEnd">#REF!</definedName>
    <definedName name="Fluid">#REF!</definedName>
    <definedName name="FormatMod.FormatMaster" localSheetId="9">'Assumption 2 Documentation'!FormatMod.FormatMaster</definedName>
    <definedName name="FormatMod.FormatMaster" localSheetId="6">'Assumptions 1 Documentation'!FormatMod.FormatMaster</definedName>
    <definedName name="FormatMod.FormatMaster" localSheetId="7">GDP!FormatMod.FormatMaster</definedName>
    <definedName name="FormatMod.FormatMaster">[0]!FormatMod.FormatMaster</definedName>
    <definedName name="fsdds" localSheetId="9" hidden="1">{#N/A,#N/A,FALSE,"Hip.Bas";#N/A,#N/A,FALSE,"ventas";#N/A,#N/A,FALSE,"ingre-Año";#N/A,#N/A,FALSE,"ventas-Año";#N/A,#N/A,FALSE,"Costepro";#N/A,#N/A,FALSE,"inversion";#N/A,#N/A,FALSE,"personal";#N/A,#N/A,FALSE,"Gastos-V";#N/A,#N/A,FALSE,"Circulante";#N/A,#N/A,FALSE,"CONSOLI";#N/A,#N/A,FALSE,"Es-Fin";#N/A,#N/A,FALSE,"Margen-P"}</definedName>
    <definedName name="fsdds" localSheetId="6" hidden="1">{#N/A,#N/A,FALSE,"Hip.Bas";#N/A,#N/A,FALSE,"ventas";#N/A,#N/A,FALSE,"ingre-Año";#N/A,#N/A,FALSE,"ventas-Año";#N/A,#N/A,FALSE,"Costepro";#N/A,#N/A,FALSE,"inversion";#N/A,#N/A,FALSE,"personal";#N/A,#N/A,FALSE,"Gastos-V";#N/A,#N/A,FALSE,"Circulante";#N/A,#N/A,FALSE,"CONSOLI";#N/A,#N/A,FALSE,"Es-Fin";#N/A,#N/A,FALSE,"Margen-P"}</definedName>
    <definedName name="fsdds" localSheetId="7" hidden="1">{#N/A,#N/A,FALSE,"Hip.Bas";#N/A,#N/A,FALSE,"ventas";#N/A,#N/A,FALSE,"ingre-Año";#N/A,#N/A,FALSE,"ventas-Año";#N/A,#N/A,FALSE,"Costepro";#N/A,#N/A,FALSE,"inversion";#N/A,#N/A,FALSE,"personal";#N/A,#N/A,FALSE,"Gastos-V";#N/A,#N/A,FALSE,"Circulante";#N/A,#N/A,FALSE,"CONSOLI";#N/A,#N/A,FALSE,"Es-Fin";#N/A,#N/A,FALSE,"Margen-P"}</definedName>
    <definedName name="fsdds" hidden="1">{#N/A,#N/A,FALSE,"Hip.Bas";#N/A,#N/A,FALSE,"ventas";#N/A,#N/A,FALSE,"ingre-Año";#N/A,#N/A,FALSE,"ventas-Año";#N/A,#N/A,FALSE,"Costepro";#N/A,#N/A,FALSE,"inversion";#N/A,#N/A,FALSE,"personal";#N/A,#N/A,FALSE,"Gastos-V";#N/A,#N/A,FALSE,"Circulante";#N/A,#N/A,FALSE,"CONSOLI";#N/A,#N/A,FALSE,"Es-Fin";#N/A,#N/A,FALSE,"Margen-P"}</definedName>
    <definedName name="fssdf" localSheetId="9" hidden="1">'Assumption 2 Documentation'!fssdf</definedName>
    <definedName name="fssdf" localSheetId="6" hidden="1">'Assumptions 1 Documentation'!fssdf</definedName>
    <definedName name="fssdf" localSheetId="7" hidden="1">GDP!fssdf</definedName>
    <definedName name="fssdf" hidden="1">[0]!fssdf</definedName>
    <definedName name="FT.FormatsOther">#N/A</definedName>
    <definedName name="FT.FormatsTop">#N/A</definedName>
    <definedName name="fwe" localSheetId="9">'Assumption 2 Documentation'!fwe</definedName>
    <definedName name="fwe" localSheetId="6">'Assumptions 1 Documentation'!fwe</definedName>
    <definedName name="fwe" localSheetId="7">GDP!fwe</definedName>
    <definedName name="fwe">[0]!fwe</definedName>
    <definedName name="fwfwe" localSheetId="9">'Assumption 2 Documentation'!fwfwe</definedName>
    <definedName name="fwfwe" localSheetId="6">'Assumptions 1 Documentation'!fwfwe</definedName>
    <definedName name="fwfwe" localSheetId="7">GDP!fwfwe</definedName>
    <definedName name="fwfwe">[0]!fwfwe</definedName>
    <definedName name="FYE">#REF!</definedName>
    <definedName name="FYEHeader">#REF!</definedName>
    <definedName name="gdf" localSheetId="9" hidden="1">{"Clothing PL",#N/A,FALSE,"H1H2";"Food PL",#N/A,FALSE,"H1H2";"Group PL",#N/A,FALSE,"H1H2";"Home Furnishings PL",#N/A,FALSE,"H1H2";"LFL assumptions",#N/A,FALSE,"H1H2";"Sales by division",#N/A,FALSE,"H1H2";"UK Retail PL",#N/A,FALSE,"H1H2"}</definedName>
    <definedName name="gdf" localSheetId="6" hidden="1">{"Clothing PL",#N/A,FALSE,"H1H2";"Food PL",#N/A,FALSE,"H1H2";"Group PL",#N/A,FALSE,"H1H2";"Home Furnishings PL",#N/A,FALSE,"H1H2";"LFL assumptions",#N/A,FALSE,"H1H2";"Sales by division",#N/A,FALSE,"H1H2";"UK Retail PL",#N/A,FALSE,"H1H2"}</definedName>
    <definedName name="gdf" localSheetId="7" hidden="1">{"Clothing PL",#N/A,FALSE,"H1H2";"Food PL",#N/A,FALSE,"H1H2";"Group PL",#N/A,FALSE,"H1H2";"Home Furnishings PL",#N/A,FALSE,"H1H2";"LFL assumptions",#N/A,FALSE,"H1H2";"Sales by division",#N/A,FALSE,"H1H2";"UK Retail PL",#N/A,FALSE,"H1H2"}</definedName>
    <definedName name="gdf" hidden="1">{"Clothing PL",#N/A,FALSE,"H1H2";"Food PL",#N/A,FALSE,"H1H2";"Group PL",#N/A,FALSE,"H1H2";"Home Furnishings PL",#N/A,FALSE,"H1H2";"LFL assumptions",#N/A,FALSE,"H1H2";"Sales by division",#N/A,FALSE,"H1H2";"UK Retail PL",#N/A,FALSE,"H1H2"}</definedName>
    <definedName name="ge"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er" localSheetId="9" hidden="1">'Assumption 2 Documentation'!ger</definedName>
    <definedName name="ger" localSheetId="6" hidden="1">'Assumptions 1 Documentation'!ger</definedName>
    <definedName name="ger" localSheetId="7" hidden="1">GDP!ger</definedName>
    <definedName name="ger" hidden="1">[0]!ger</definedName>
    <definedName name="gerergr" localSheetId="9" hidden="1">'Assumption 2 Documentation'!gerergr</definedName>
    <definedName name="gerergr" localSheetId="6" hidden="1">'Assumptions 1 Documentation'!gerergr</definedName>
    <definedName name="gerergr" localSheetId="7" hidden="1">GDP!gerergr</definedName>
    <definedName name="gerergr" hidden="1">[0]!gerergr</definedName>
    <definedName name="gerg" localSheetId="9">'Assumption 2 Documentation'!gerg</definedName>
    <definedName name="gerg" localSheetId="6">'Assumptions 1 Documentation'!gerg</definedName>
    <definedName name="gerg" localSheetId="7">GDP!gerg</definedName>
    <definedName name="gerg">[0]!gerg</definedName>
    <definedName name="gergr" localSheetId="9">'Assumption 2 Documentation'!gergr</definedName>
    <definedName name="gergr" localSheetId="6">'Assumptions 1 Documentation'!gergr</definedName>
    <definedName name="gergr" localSheetId="7">GDP!gergr</definedName>
    <definedName name="gergr">[0]!gergr</definedName>
    <definedName name="gergre" localSheetId="9">'Assumption 2 Documentation'!gergre</definedName>
    <definedName name="gergre" localSheetId="6">'Assumptions 1 Documentation'!gergre</definedName>
    <definedName name="gergre" localSheetId="7">GDP!gergre</definedName>
    <definedName name="gergre">[0]!gergre</definedName>
    <definedName name="gew"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gew" hidden="1">{TRUE,TRUE,-1.25,-15.5,604.5,369,FALSE,FALSE,TRUE,TRUE,0,1,83,1,38,4,5,4,TRUE,TRUE,3,TRUE,1,TRUE,75,"Swvu.inputs._.raw._.data.","ACwvu.inputs._.raw._.data.",#N/A,FALSE,FALSE,0.5,0.5,0.5,0.5,2,"&amp;F","&amp;A&amp;RPage &amp;P",FALSE,FALSE,FALSE,FALSE,1,60,#N/A,#N/A,"=R1C61:R53C89","=C1:C5",#N/A,#N/A,FALSE,FALSE,FALSE,1,600,600,FALSE,FALSE,TRUE,TRUE,TRUE}</definedName>
    <definedName name="gewg" localSheetId="9" hidden="1">{"Clothing PL",#N/A,FALSE,"H1H2";"Food PL",#N/A,FALSE,"H1H2";"Group PL",#N/A,FALSE,"H1H2";"Home Furnishings PL",#N/A,FALSE,"H1H2"}</definedName>
    <definedName name="gewg" localSheetId="6" hidden="1">{"Clothing PL",#N/A,FALSE,"H1H2";"Food PL",#N/A,FALSE,"H1H2";"Group PL",#N/A,FALSE,"H1H2";"Home Furnishings PL",#N/A,FALSE,"H1H2"}</definedName>
    <definedName name="gewg" localSheetId="7" hidden="1">{"Clothing PL",#N/A,FALSE,"H1H2";"Food PL",#N/A,FALSE,"H1H2";"Group PL",#N/A,FALSE,"H1H2";"Home Furnishings PL",#N/A,FALSE,"H1H2"}</definedName>
    <definedName name="gewg" hidden="1">{"Clothing PL",#N/A,FALSE,"H1H2";"Food PL",#N/A,FALSE,"H1H2";"Group PL",#N/A,FALSE,"H1H2";"Home Furnishings PL",#N/A,FALSE,"H1H2"}</definedName>
    <definedName name="gewge" localSheetId="9">'Assumption 2 Documentation'!gewge</definedName>
    <definedName name="gewge" localSheetId="6">'Assumptions 1 Documentation'!gewge</definedName>
    <definedName name="gewge" localSheetId="7">GDP!gewge</definedName>
    <definedName name="gewge">[0]!gewge</definedName>
    <definedName name="gewgwe" localSheetId="9">'Assumption 2 Documentation'!gewgwe</definedName>
    <definedName name="gewgwe" localSheetId="6">'Assumptions 1 Documentation'!gewgwe</definedName>
    <definedName name="gewgwe" localSheetId="7">GDP!gewgwe</definedName>
    <definedName name="gewgwe">[0]!gewgwe</definedName>
    <definedName name="gfd" localSheetId="9">'Assumption 2 Documentation'!gfd</definedName>
    <definedName name="gfd" localSheetId="6">'Assumptions 1 Documentation'!gfd</definedName>
    <definedName name="gfd" localSheetId="7">GDP!gfd</definedName>
    <definedName name="gfd">[0]!gfd</definedName>
    <definedName name="ghjh"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hjh"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glenrev">#REF!</definedName>
    <definedName name="gmarg">#REF!</definedName>
    <definedName name="golf">#REF!</definedName>
    <definedName name="Goodwill_Amortization">20</definedName>
    <definedName name="GoodwillAmort">#REF!</definedName>
    <definedName name="GoodwillDeduct">#REF!</definedName>
    <definedName name="gr" localSheetId="9" hidden="1">'Assumption 2 Documentation'!gr</definedName>
    <definedName name="gr" localSheetId="6" hidden="1">'Assumptions 1 Documentation'!gr</definedName>
    <definedName name="gr" localSheetId="7" hidden="1">GDP!gr</definedName>
    <definedName name="gr" hidden="1">[0]!gr</definedName>
    <definedName name="GraphbuildingMod.ChangeTicker" localSheetId="9">'Assumption 2 Documentation'!GraphbuildingMod.ChangeTicker</definedName>
    <definedName name="GraphbuildingMod.ChangeTicker" localSheetId="6">'Assumptions 1 Documentation'!GraphbuildingMod.ChangeTicker</definedName>
    <definedName name="GraphbuildingMod.ChangeTicker" localSheetId="7">GDP!GraphbuildingMod.ChangeTicker</definedName>
    <definedName name="GraphbuildingMod.ChangeTicker">[0]!GraphbuildingMod.ChangeTicker</definedName>
    <definedName name="GraphbuildingMod.editgraph" localSheetId="9">'Assumption 2 Documentation'!GraphbuildingMod.editgraph</definedName>
    <definedName name="GraphbuildingMod.editgraph" localSheetId="6">'Assumptions 1 Documentation'!GraphbuildingMod.editgraph</definedName>
    <definedName name="GraphbuildingMod.editgraph" localSheetId="7">GDP!GraphbuildingMod.editgraph</definedName>
    <definedName name="GraphbuildingMod.editgraph">[0]!GraphbuildingMod.editgraph</definedName>
    <definedName name="GraphbuildingMod.ExportData" localSheetId="9">'Assumption 2 Documentation'!GraphbuildingMod.ExportData</definedName>
    <definedName name="GraphbuildingMod.ExportData" localSheetId="6">'Assumptions 1 Documentation'!GraphbuildingMod.ExportData</definedName>
    <definedName name="GraphbuildingMod.ExportData" localSheetId="7">GDP!GraphbuildingMod.ExportData</definedName>
    <definedName name="GraphbuildingMod.ExportData">[0]!GraphbuildingMod.ExportData</definedName>
    <definedName name="GraphbuildingMod.LayoutSet" localSheetId="9">'Assumption 2 Documentation'!GraphbuildingMod.LayoutSet</definedName>
    <definedName name="GraphbuildingMod.LayoutSet" localSheetId="6">'Assumptions 1 Documentation'!GraphbuildingMod.LayoutSet</definedName>
    <definedName name="GraphbuildingMod.LayoutSet" localSheetId="7">GDP!GraphbuildingMod.LayoutSet</definedName>
    <definedName name="GraphbuildingMod.LayoutSet">[0]!GraphbuildingMod.LayoutSet</definedName>
    <definedName name="GraphbuildingMod.PasteGraph" localSheetId="9">'Assumption 2 Documentation'!GraphbuildingMod.PasteGraph</definedName>
    <definedName name="GraphbuildingMod.PasteGraph" localSheetId="6">'Assumptions 1 Documentation'!GraphbuildingMod.PasteGraph</definedName>
    <definedName name="GraphbuildingMod.PasteGraph" localSheetId="7">GDP!GraphbuildingMod.PasteGraph</definedName>
    <definedName name="GraphbuildingMod.PasteGraph">[0]!GraphbuildingMod.PasteGraph</definedName>
    <definedName name="GraphbuildingMod.PrintPreview" localSheetId="9">'Assumption 2 Documentation'!GraphbuildingMod.PrintPreview</definedName>
    <definedName name="GraphbuildingMod.PrintPreview" localSheetId="6">'Assumptions 1 Documentation'!GraphbuildingMod.PrintPreview</definedName>
    <definedName name="GraphbuildingMod.PrintPreview" localSheetId="7">GDP!GraphbuildingMod.PrintPreview</definedName>
    <definedName name="GraphbuildingMod.PrintPreview">[0]!GraphbuildingMod.PrintPreview</definedName>
    <definedName name="GraphbuildingMod.ShowData" localSheetId="9">'Assumption 2 Documentation'!GraphbuildingMod.ShowData</definedName>
    <definedName name="GraphbuildingMod.ShowData" localSheetId="6">'Assumptions 1 Documentation'!GraphbuildingMod.ShowData</definedName>
    <definedName name="GraphbuildingMod.ShowData" localSheetId="7">GDP!GraphbuildingMod.ShowData</definedName>
    <definedName name="GraphbuildingMod.ShowData">[0]!GraphbuildingMod.ShowData</definedName>
    <definedName name="GraphbuildingMod.ShowGraph" localSheetId="9">'Assumption 2 Documentation'!GraphbuildingMod.ShowGraph</definedName>
    <definedName name="GraphbuildingMod.ShowGraph" localSheetId="6">'Assumptions 1 Documentation'!GraphbuildingMod.ShowGraph</definedName>
    <definedName name="GraphbuildingMod.ShowGraph" localSheetId="7">GDP!GraphbuildingMod.ShowGraph</definedName>
    <definedName name="GraphbuildingMod.ShowGraph">[0]!GraphbuildingMod.ShowGraph</definedName>
    <definedName name="GraphCompBuild" localSheetId="9">'Assumption 2 Documentation'!GraphCompBuild</definedName>
    <definedName name="GraphCompBuild" localSheetId="6">'Assumptions 1 Documentation'!GraphCompBuild</definedName>
    <definedName name="GraphCompBuild" localSheetId="7">GDP!GraphCompBuild</definedName>
    <definedName name="GraphCompBuild">[0]!GraphCompBuild</definedName>
    <definedName name="Graphexitmsg" localSheetId="9">'Assumption 2 Documentation'!Graphexitmsg</definedName>
    <definedName name="Graphexitmsg" localSheetId="6">'Assumptions 1 Documentation'!Graphexitmsg</definedName>
    <definedName name="Graphexitmsg" localSheetId="7">GDP!Graphexitmsg</definedName>
    <definedName name="Graphexitmsg">[0]!Graphexitmsg</definedName>
    <definedName name="GraphIntroMod.exitmsg" localSheetId="9">'Assumption 2 Documentation'!GraphIntroMod.exitmsg</definedName>
    <definedName name="GraphIntroMod.exitmsg" localSheetId="6">'Assumptions 1 Documentation'!GraphIntroMod.exitmsg</definedName>
    <definedName name="GraphIntroMod.exitmsg" localSheetId="7">GDP!GraphIntroMod.exitmsg</definedName>
    <definedName name="GraphIntroMod.exitmsg">[0]!GraphIntroMod.exitmsg</definedName>
    <definedName name="GraphIntroMod.Graphexitmsg" localSheetId="9">'Assumption 2 Documentation'!GraphIntroMod.Graphexitmsg</definedName>
    <definedName name="GraphIntroMod.Graphexitmsg" localSheetId="6">'Assumptions 1 Documentation'!GraphIntroMod.Graphexitmsg</definedName>
    <definedName name="GraphIntroMod.Graphexitmsg" localSheetId="7">GDP!GraphIntroMod.Graphexitmsg</definedName>
    <definedName name="GraphIntroMod.Graphexitmsg">[0]!GraphIntroMod.Graphexitmsg</definedName>
    <definedName name="gre" localSheetId="9">'Assumption 2 Documentation'!gre</definedName>
    <definedName name="gre" localSheetId="6">'Assumptions 1 Documentation'!gre</definedName>
    <definedName name="gre" localSheetId="7">GDP!gre</definedName>
    <definedName name="gre">[0]!gre</definedName>
    <definedName name="greger" localSheetId="9">'Assumption 2 Documentation'!greger</definedName>
    <definedName name="greger" localSheetId="6">'Assumptions 1 Documentation'!greger</definedName>
    <definedName name="greger" localSheetId="7">GDP!greger</definedName>
    <definedName name="greger">[0]!greger</definedName>
    <definedName name="GROUP">#REF!</definedName>
    <definedName name="gwamort">#REF!</definedName>
    <definedName name="gwegwe" localSheetId="9">'Assumption 2 Documentation'!gwegwe</definedName>
    <definedName name="gwegwe" localSheetId="6">'Assumptions 1 Documentation'!gwegwe</definedName>
    <definedName name="gwegwe" localSheetId="7">GDP!gwegwe</definedName>
    <definedName name="gwegwe">[0]!gwegwe</definedName>
    <definedName name="gwegweg" localSheetId="9">'Assumption 2 Documentation'!gwegweg</definedName>
    <definedName name="gwegweg" localSheetId="6">'Assumptions 1 Documentation'!gwegweg</definedName>
    <definedName name="gwegweg" localSheetId="7">GDP!gwegweg</definedName>
    <definedName name="gwegweg">[0]!gwegweg</definedName>
    <definedName name="gwg" localSheetId="9">'Assumption 2 Documentation'!gwg</definedName>
    <definedName name="gwg" localSheetId="6">'Assumptions 1 Documentation'!gwg</definedName>
    <definedName name="gwg" localSheetId="7">GDP!gwg</definedName>
    <definedName name="gwg">[0]!gwg</definedName>
    <definedName name="gwgew" localSheetId="9">'Assumption 2 Documentation'!gwgew</definedName>
    <definedName name="gwgew" localSheetId="6">'Assumptions 1 Documentation'!gwgew</definedName>
    <definedName name="gwgew" localSheetId="7">GDP!gwgew</definedName>
    <definedName name="gwgew">[0]!gwgew</definedName>
    <definedName name="gwgwe" localSheetId="9">'Assumption 2 Documentation'!gwgwe</definedName>
    <definedName name="gwgwe" localSheetId="6">'Assumptions 1 Documentation'!gwgwe</definedName>
    <definedName name="gwgwe" localSheetId="7">GDP!gwgwe</definedName>
    <definedName name="gwgwe">[0]!gwgwe</definedName>
    <definedName name="H.HiddenCols">#REF!,#REF!,#REF!,#REF!,#REF!</definedName>
    <definedName name="H.HiddenRows">#REF!,#REF!,#REF!</definedName>
    <definedName name="Half_Year_Adj_Factor">2</definedName>
    <definedName name="halfyear">#REF!</definedName>
    <definedName name="halfyear2">#REF!</definedName>
    <definedName name="HeaderFormat" localSheetId="9">'Assumption 2 Documentation'!HeaderFormat</definedName>
    <definedName name="HeaderFormat" localSheetId="6">'Assumptions 1 Documentation'!HeaderFormat</definedName>
    <definedName name="HeaderFormat" localSheetId="7">GDP!HeaderFormat</definedName>
    <definedName name="HeaderFormat">[0]!HeaderFormat</definedName>
    <definedName name="HelpTest" localSheetId="9">'Assumption 2 Documentation'!HelpTest</definedName>
    <definedName name="HelpTest" localSheetId="6">'Assumptions 1 Documentation'!HelpTest</definedName>
    <definedName name="HelpTest" localSheetId="7">GDP!HelpTest</definedName>
    <definedName name="HelpTest">[0]!HelpTest</definedName>
    <definedName name="Hershey" localSheetId="9">'Assumption 2 Documentation'!Hershey</definedName>
    <definedName name="Hershey" localSheetId="6">'Assumptions 1 Documentation'!Hershey</definedName>
    <definedName name="Hershey" localSheetId="7">GDP!Hershey</definedName>
    <definedName name="Hershey">[0]!Hershey</definedName>
    <definedName name="hf" localSheetId="9" hidden="1">'Assumption 2 Documentation'!hf</definedName>
    <definedName name="hf" localSheetId="6" hidden="1">'Assumptions 1 Documentation'!hf</definedName>
    <definedName name="hf" localSheetId="7" hidden="1">GDP!hf</definedName>
    <definedName name="hf" hidden="1">[0]!hf</definedName>
    <definedName name="IC.Queries">#REF!,#REF!,#REF!,#REF!,#REF!</definedName>
    <definedName name="iia">#REF!</definedName>
    <definedName name="income">#REF!</definedName>
    <definedName name="income_acq_print">#REF!</definedName>
    <definedName name="income_new_print">#REF!</definedName>
    <definedName name="indgp">#REF!</definedName>
    <definedName name="indrev">#REF!</definedName>
    <definedName name="indsga">#REF!</definedName>
    <definedName name="inject">#REF!</definedName>
    <definedName name="InputAnn">#REF!,#REF!,#REF!,#REF!,#REF!,#REF!,#REF!,#REF!,#REF!,#REF!</definedName>
    <definedName name="InputQtr">#REF!,#REF!,#REF!,#REF!,#REF!,#REF!,#REF!</definedName>
    <definedName name="inputs_print">#REF!</definedName>
    <definedName name="Int_exp">7%</definedName>
    <definedName name="Interest_Expense_Rate">7%</definedName>
    <definedName name="Interest_Income_Rate">6.5%</definedName>
    <definedName name="invdays">#REF!</definedName>
    <definedName name="inventory98">#REF!</definedName>
    <definedName name="IPOSize">#REF!</definedName>
    <definedName name="IQ_ADDIN" hidden="1">"AUTO"</definedName>
    <definedName name="IQ_AE_BR" hidden="1">"c10"</definedName>
    <definedName name="IQ_AP_BR" hidden="1">"c34"</definedName>
    <definedName name="IQ_AR_BR" hidden="1">"c41"</definedName>
    <definedName name="IQ_ASSET_WRITEDOWN_BR" hidden="1">"c50"</definedName>
    <definedName name="IQ_ASSET_WRITEDOWN_CF_BR" hidden="1">"c53"</definedName>
    <definedName name="IQ_AVG_PRICE_TARGET" hidden="1">"c82"</definedName>
    <definedName name="IQ_CAPEX_BR" hidden="1">"c111"</definedName>
    <definedName name="IQ_CH" hidden="1">110000</definedName>
    <definedName name="IQ_CHANGE_AP_BR" hidden="1">"c135"</definedName>
    <definedName name="IQ_CHANGE_AR_BR" hidden="1">"c142"</definedName>
    <definedName name="IQ_CHANGE_OTHER_NET_OPER_ASSETS_BR" hidden="1">"c3595"</definedName>
    <definedName name="IQ_CHANGE_OTHER_WORK_CAP_BR" hidden="1">"c154"</definedName>
    <definedName name="IQ_COMMERCIAL_DOM" hidden="1">"c177"</definedName>
    <definedName name="IQ_COMMERCIAL_MORT" hidden="1">"c179"</definedName>
    <definedName name="IQ_COMMON_APIC_BR" hidden="1">"c185"</definedName>
    <definedName name="IQ_COMMON_ISSUED_BR" hidden="1">"c199"</definedName>
    <definedName name="IQ_COMMON_REP_BR" hidden="1">"c208"</definedName>
    <definedName name="IQ_CONV_RATE" hidden="1">"c2192"</definedName>
    <definedName name="IQ_CQ" hidden="1">5000</definedName>
    <definedName name="IQ_CURRENCY_GAIN_BR" hidden="1">"c236"</definedName>
    <definedName name="IQ_CURRENT_PORT_DEBT_BR" hidden="1">"c1567"</definedName>
    <definedName name="IQ_CY" hidden="1">10000</definedName>
    <definedName name="IQ_DA_BR" hidden="1">"c248"</definedName>
    <definedName name="IQ_DA_CF_BR" hidden="1">"c251"</definedName>
    <definedName name="IQ_DA_SUPPL_BR" hidden="1">"c260"</definedName>
    <definedName name="IQ_DA_SUPPL_CF_BR" hidden="1">"c263"</definedName>
    <definedName name="IQ_DAILY" hidden="1">500000</definedName>
    <definedName name="IQ_DEF_AMORT_BR" hidden="1">"c278"</definedName>
    <definedName name="IQ_DEF_CHARGES_BR" hidden="1">"c288"</definedName>
    <definedName name="IQ_DEF_CHARGES_LT_BR" hidden="1">"c294"</definedName>
    <definedName name="IQ_DEF_TAX_ASSET_LT_BR" hidden="1">"c304"</definedName>
    <definedName name="IQ_DEF_TAX_LIAB_LT_BR" hidden="1">"c315"</definedName>
    <definedName name="IQ_DNTM" hidden="1">700000</definedName>
    <definedName name="IQ_EBT_BR" hidden="1">"c378"</definedName>
    <definedName name="IQ_EBT_EXCL_BR" hidden="1">"c381"</definedName>
    <definedName name="IQ_EST_EPS_SURPRISE" hidden="1">"c1635"</definedName>
    <definedName name="IQ_EXTRA_ACC_ITEMS_BR" hidden="1">"c412"</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GAIN_ASSETS_BR" hidden="1">"c454"</definedName>
    <definedName name="IQ_GAIN_ASSETS_CF_BR" hidden="1">"c457"</definedName>
    <definedName name="IQ_GAIN_ASSETS_REV_BR" hidden="1">"c474"</definedName>
    <definedName name="IQ_GAIN_INVEST_BR" hidden="1">"c1464"</definedName>
    <definedName name="IQ_GAIN_INVEST_CF_BR" hidden="1">"c482"</definedName>
    <definedName name="IQ_GAIN_INVEST_REV_BR" hidden="1">"c496"</definedName>
    <definedName name="IQ_GW_AMORT_BR" hidden="1">"c532"</definedName>
    <definedName name="IQ_GW_INTAN_AMORT_BR" hidden="1">"c1470"</definedName>
    <definedName name="IQ_GW_INTAN_AMORT_CF_BR" hidden="1">"c1473"</definedName>
    <definedName name="IQ_INC_EQUITY_BR" hidden="1">"c550"</definedName>
    <definedName name="IQ_INS_SETTLE_BR" hidden="1">"c572"</definedName>
    <definedName name="IQ_INT_EXP_BR" hidden="1">"c586"</definedName>
    <definedName name="IQ_INT_INC_BR" hidden="1">"c593"</definedName>
    <definedName name="IQ_INVEST_LOANS_CF_BR" hidden="1">"c630"</definedName>
    <definedName name="IQ_INVEST_SECURITY_CF_BR" hidden="1">"c639"</definedName>
    <definedName name="IQ_LATESTK" hidden="1">1000</definedName>
    <definedName name="IQ_LATESTQ" hidden="1">500</definedName>
    <definedName name="IQ_LEGAL_SETTLE_BR" hidden="1">"c649"</definedName>
    <definedName name="IQ_LOANS_CF_BR" hidden="1">"c661"</definedName>
    <definedName name="IQ_LT_DEBT_BR" hidden="1">"c676"</definedName>
    <definedName name="IQ_LT_DEBT_ISSUED_BR" hidden="1">"c683"</definedName>
    <definedName name="IQ_LT_DEBT_REPAID_BR" hidden="1">"c691"</definedName>
    <definedName name="IQ_LT_INVEST_BR" hidden="1">"c698"</definedName>
    <definedName name="IQ_LTM" hidden="1">2000</definedName>
    <definedName name="IQ_LTMMONTH" hidden="1">120000</definedName>
    <definedName name="IQ_MERGER_BR" hidden="1">"c715"</definedName>
    <definedName name="IQ_MERGER_RESTRUCTURE_BR" hidden="1">"c721"</definedName>
    <definedName name="IQ_MINORITY_INTEREST_BR" hidden="1">"c729"</definedName>
    <definedName name="IQ_MONTH" hidden="1">15000</definedName>
    <definedName name="IQ_MTD" hidden="1">800000</definedName>
    <definedName name="IQ_NAMES_REVISION_DATE_" hidden="1">41302.6061805556</definedName>
    <definedName name="IQ_NAV_ACT_OR_EST" hidden="1">"c2225"</definedName>
    <definedName name="IQ_NET_DEBT_ISSUED_BR" hidden="1">"c753"</definedName>
    <definedName name="IQ_NET_INT_INC_BR" hidden="1">"c765"</definedName>
    <definedName name="IQ_NTM" hidden="1">6000</definedName>
    <definedName name="IQ_OG_TOTAL_OIL_PRODUCTON" hidden="1">"c2059"</definedName>
    <definedName name="IQ_OPER_INC_BR" hidden="1">"c850"</definedName>
    <definedName name="IQ_OTHER_ASSETS_BR" hidden="1">"c862"</definedName>
    <definedName name="IQ_OTHER_CA_SUPPL_BR" hidden="1">"c871"</definedName>
    <definedName name="IQ_OTHER_CL_SUPPL_BR" hidden="1">"c880"</definedName>
    <definedName name="IQ_OTHER_EQUITY_BR" hidden="1">"c888"</definedName>
    <definedName name="IQ_OTHER_FINANCE_ACT_BR" hidden="1">"c895"</definedName>
    <definedName name="IQ_OTHER_FINANCE_ACT_SUPPL_BR" hidden="1">"c901"</definedName>
    <definedName name="IQ_OTHER_INTAN_BR" hidden="1">"c909"</definedName>
    <definedName name="IQ_OTHER_INVEST_ACT_BR" hidden="1">"c918"</definedName>
    <definedName name="IQ_OTHER_INVEST_ACT_SUPPL_BR" hidden="1">"c924"</definedName>
    <definedName name="IQ_OTHER_LIAB_BR" hidden="1">"c932"</definedName>
    <definedName name="IQ_OTHER_LIAB_LT_BR" hidden="1">"c937"</definedName>
    <definedName name="IQ_OTHER_LT_ASSETS_BR" hidden="1">"c948"</definedName>
    <definedName name="IQ_OTHER_NON_OPER_EXP_BR" hidden="1">"c957"</definedName>
    <definedName name="IQ_OTHER_NON_OPER_EXP_SUPPL_BR" hidden="1">"c962"</definedName>
    <definedName name="IQ_OTHER_OPER_ACT_BR" hidden="1">"c985"</definedName>
    <definedName name="IQ_OTHER_OPER_BR" hidden="1">"c990"</definedName>
    <definedName name="IQ_OTHER_OPER_SUPPL_BR" hidden="1">"c994"</definedName>
    <definedName name="IQ_OTHER_OPER_TOT_BR" hidden="1">"c1000"</definedName>
    <definedName name="IQ_OTHER_REV_BR" hidden="1">"c1011"</definedName>
    <definedName name="IQ_OTHER_REV_SUPPL_BR" hidden="1">"c1016"</definedName>
    <definedName name="IQ_OTHER_UNUSUAL_BR" hidden="1">"c1561"</definedName>
    <definedName name="IQ_OTHER_UNUSUAL_SUPPL_BR" hidden="1">"c1496"</definedName>
    <definedName name="IQ_PC_WRITTEN" hidden="1">"c1027"</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REF_ISSUED_BR" hidden="1">"c1047"</definedName>
    <definedName name="IQ_PREF_OTHER_BR" hidden="1">"c1055"</definedName>
    <definedName name="IQ_PREF_REP_BR" hidden="1">"c1062"</definedName>
    <definedName name="IQ_QTD" hidden="1">750000</definedName>
    <definedName name="IQ_RESIDENTIAL_LOANS" hidden="1">"c1102"</definedName>
    <definedName name="IQ_RESTRUCTURE_BR" hidden="1">"c1106"</definedName>
    <definedName name="IQ_RETURN_ASSETS_BROK" hidden="1">"c1115"</definedName>
    <definedName name="IQ_RETURN_EQUITY_BROK" hidden="1">"c1120"</definedName>
    <definedName name="IQ_SALE_INTAN_CF_BR" hidden="1">"c1133"</definedName>
    <definedName name="IQ_SALE_PPE_CF_BR" hidden="1">"c1139"</definedName>
    <definedName name="IQ_SALE_REAL_ESTATE_CF_BR" hidden="1">"c1145"</definedName>
    <definedName name="IQ_SHAREOUTSTANDING" hidden="1">"c83"</definedName>
    <definedName name="IQ_SPECIAL_DIV_CF_BR" hidden="1">"c1171"</definedName>
    <definedName name="IQ_ST_DEBT_BR" hidden="1">"c1178"</definedName>
    <definedName name="IQ_ST_DEBT_ISSUED_BR" hidden="1">"c1183"</definedName>
    <definedName name="IQ_ST_DEBT_REPAID_BR" hidden="1">"c1191"</definedName>
    <definedName name="IQ_TODAY" hidden="1">0</definedName>
    <definedName name="IQ_TOTAL_AR_BR" hidden="1">"c1231"</definedName>
    <definedName name="IQ_TOTAL_DEBT_ISSUED_BR" hidden="1">"c1253"</definedName>
    <definedName name="IQ_TOTAL_DEBT_REPAID_BR" hidden="1">"c1260"</definedName>
    <definedName name="IQ_TOTAL_LIAB_BR" hidden="1">"c1278"</definedName>
    <definedName name="IQ_TOTAL_OPER_EXP_BR" hidden="1">"c1284"</definedName>
    <definedName name="IQ_TOTAL_PENSION_OBLIGATION" hidden="1">"c1292"</definedName>
    <definedName name="IQ_TOTAL_REV_BR" hidden="1">"c1303"</definedName>
    <definedName name="IQ_TREASURY_OTHER_EQUITY_BR" hidden="1">"c1314"</definedName>
    <definedName name="IQ_UNEARN_REV_CURRENT_BR" hidden="1">"c1324"</definedName>
    <definedName name="IQ_WEEK" hidden="1">50000</definedName>
    <definedName name="IQ_YTD" hidden="1">3000</definedName>
    <definedName name="IQ_YTDMONTH" hidden="1">130000</definedName>
    <definedName name="jytjytyj" localSheetId="9" hidden="1">'Assumption 2 Documentation'!jytjytyj</definedName>
    <definedName name="jytjytyj" localSheetId="6" hidden="1">'Assumptions 1 Documentation'!jytjytyj</definedName>
    <definedName name="jytjytyj" localSheetId="7" hidden="1">GDP!jytjytyj</definedName>
    <definedName name="jytjytyj" hidden="1">[0]!jytjytyj</definedName>
    <definedName name="kiuj"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kiuj" hidden="1">{TRUE,TRUE,-1.25,-15.5,604.5,369,FALSE,FALSE,TRUE,TRUE,0,1,83,1,38,4,5,4,TRUE,TRUE,3,TRUE,1,TRUE,75,"Swvu.inputs._.raw._.data.","ACwvu.inputs._.raw._.data.",#N/A,FALSE,FALSE,0.5,0.5,0.5,0.5,2,"&amp;F","&amp;A&amp;RPage &amp;P",FALSE,FALSE,FALSE,FALSE,1,60,#N/A,#N/A,"=R1C61:R53C89","=C1:C5",#N/A,#N/A,FALSE,FALSE,FALSE,1,600,600,FALSE,FALSE,TRUE,TRUE,TRUE}</definedName>
    <definedName name="kiukiu" localSheetId="9" hidden="1">{#N/A,#N/A,FALSE,"H1H2";"Sales by division",#N/A,FALSE,"H1H2";"LFL assumptions",#N/A,FALSE,"H1H2"}</definedName>
    <definedName name="kiukiu" localSheetId="6" hidden="1">{#N/A,#N/A,FALSE,"H1H2";"Sales by division",#N/A,FALSE,"H1H2";"LFL assumptions",#N/A,FALSE,"H1H2"}</definedName>
    <definedName name="kiukiu" localSheetId="7" hidden="1">{#N/A,#N/A,FALSE,"H1H2";"Sales by division",#N/A,FALSE,"H1H2";"LFL assumptions",#N/A,FALSE,"H1H2"}</definedName>
    <definedName name="kiukiu" hidden="1">{#N/A,#N/A,FALSE,"H1H2";"Sales by division",#N/A,FALSE,"H1H2";"LFL assumptions",#N/A,FALSE,"H1H2"}</definedName>
    <definedName name="kuikui" localSheetId="9" hidden="1">{"Clothing PL",#N/A,FALSE,"H1H2";"Food PL",#N/A,FALSE,"H1H2";"Group PL",#N/A,FALSE,"H1H2";"Home Furnishings PL",#N/A,FALSE,"H1H2"}</definedName>
    <definedName name="kuikui" localSheetId="6" hidden="1">{"Clothing PL",#N/A,FALSE,"H1H2";"Food PL",#N/A,FALSE,"H1H2";"Group PL",#N/A,FALSE,"H1H2";"Home Furnishings PL",#N/A,FALSE,"H1H2"}</definedName>
    <definedName name="kuikui" localSheetId="7" hidden="1">{"Clothing PL",#N/A,FALSE,"H1H2";"Food PL",#N/A,FALSE,"H1H2";"Group PL",#N/A,FALSE,"H1H2";"Home Furnishings PL",#N/A,FALSE,"H1H2"}</definedName>
    <definedName name="kuikui" hidden="1">{"Clothing PL",#N/A,FALSE,"H1H2";"Food PL",#N/A,FALSE,"H1H2";"Group PL",#N/A,FALSE,"H1H2";"Home Furnishings PL",#N/A,FALSE,"H1H2"}</definedName>
    <definedName name="LaunchFormulaLookup" localSheetId="9">'Assumption 2 Documentation'!LaunchFormulaLookup</definedName>
    <definedName name="LaunchFormulaLookup" localSheetId="6">'Assumptions 1 Documentation'!LaunchFormulaLookup</definedName>
    <definedName name="LaunchFormulaLookup" localSheetId="7">GDP!LaunchFormulaLookup</definedName>
    <definedName name="LaunchFormulaLookup">[0]!LaunchFormulaLookup</definedName>
    <definedName name="LBO">#REF!</definedName>
    <definedName name="LBO_DEBT">#REF!</definedName>
    <definedName name="Lean">#REF!</definedName>
    <definedName name="Lean1">#REF!</definedName>
    <definedName name="LIBOR">#REF!</definedName>
    <definedName name="LIBOR3">#REF!</definedName>
    <definedName name="limagp">#REF!</definedName>
    <definedName name="limarev">#REF!</definedName>
    <definedName name="limasga">#REF!</definedName>
    <definedName name="LookUp2">#REF!</definedName>
    <definedName name="LTC">#REF!</definedName>
    <definedName name="LTMDate">#REF!</definedName>
    <definedName name="LTMEBITDA">#REF!</definedName>
    <definedName name="LTMEPS">#REF!</definedName>
    <definedName name="LTMMonths">#REF!</definedName>
    <definedName name="make">#REF!</definedName>
    <definedName name="marg1">#REF!</definedName>
    <definedName name="marg2">#REF!</definedName>
    <definedName name="marg3">#REF!</definedName>
    <definedName name="marg4">#REF!</definedName>
    <definedName name="margin">#REF!</definedName>
    <definedName name="margin2">#REF!</definedName>
    <definedName name="margin3">#REF!</definedName>
    <definedName name="margin4">#REF!</definedName>
    <definedName name="margin5">#REF!</definedName>
    <definedName name="MATRIX">#REF!</definedName>
    <definedName name="maturegrowth">#REF!</definedName>
    <definedName name="mazgp">#REF!</definedName>
    <definedName name="mazrev">#REF!</definedName>
    <definedName name="mazsga">#REF!</definedName>
    <definedName name="mcs03g.ReqArray" localSheetId="8">{"Compustat","93439010","LC992/Q27/q20","Q","2/1/1992","8/27/95","V"}</definedName>
    <definedName name="mcs03g.ReqArray" localSheetId="9">{"Compustat","93439010","LC992/Q27/q20","Q","2/1/1992","8/27/95","V"}</definedName>
    <definedName name="mcs03g.ReqArray" localSheetId="6">{"Compustat","93439010","LC992/Q27/q20","Q","2/1/1992","8/27/95","V"}</definedName>
    <definedName name="mcs03g.ReqArray" localSheetId="1">{"Compustat","93439010","LC992/Q27/q20","Q","2/1/1992","8/27/95","V"}</definedName>
    <definedName name="mcs03g.ReqArray" localSheetId="7">{"Compustat","93439010","LC992/Q27/q20","Q","2/1/1992","8/27/95","V"}</definedName>
    <definedName name="mcs03g.ReqArray" localSheetId="2">{"Compustat","93439010","LC992/Q27/q20","Q","2/1/1992","8/27/95","V"}</definedName>
    <definedName name="mcs03g.ReqArray">{"Compustat","93439010","LC992/Q27/q20","Q","2/1/1992","8/27/95","V"}</definedName>
    <definedName name="MedianMultiple">#REF!</definedName>
    <definedName name="megagp">#REF!</definedName>
    <definedName name="megarev">#REF!</definedName>
    <definedName name="megsga">#REF!</definedName>
    <definedName name="MerrillPrintIt" localSheetId="9" hidden="1">'Assumption 2 Documentation'!MerrillPrintIt</definedName>
    <definedName name="MerrillPrintIt" localSheetId="6" hidden="1">'Assumptions 1 Documentation'!MerrillPrintIt</definedName>
    <definedName name="MerrillPrintIt" localSheetId="7" hidden="1">GDP!MerrillPrintIt</definedName>
    <definedName name="MerrillPrintIt" hidden="1">[0]!MerrillPrintIt</definedName>
    <definedName name="mgmt">#REF!</definedName>
    <definedName name="MgmtOwn">#REF!</definedName>
    <definedName name="mgp">#REF!</definedName>
    <definedName name="michgp">#REF!</definedName>
    <definedName name="michrev">#REF!</definedName>
    <definedName name="michsga">#REF!</definedName>
    <definedName name="milgp">#REF!</definedName>
    <definedName name="milrev">#REF!</definedName>
    <definedName name="milsga">#REF!</definedName>
    <definedName name="MinCash">#REF!</definedName>
    <definedName name="MKT_PRICE">#REF!</definedName>
    <definedName name="MktPrice">#REF!</definedName>
    <definedName name="mrev">#REF!</definedName>
    <definedName name="msga">#REF!</definedName>
    <definedName name="MultipleFactor">#REF!</definedName>
    <definedName name="muskgp">#REF!</definedName>
    <definedName name="muskrev">#REF!</definedName>
    <definedName name="musksga">#REF!</definedName>
    <definedName name="Name">#REF!</definedName>
    <definedName name="NameProj">#REF!</definedName>
    <definedName name="names">#REF!</definedName>
    <definedName name="NameTar">#REF!</definedName>
    <definedName name="NetOptions">#REF!</definedName>
    <definedName name="NetPPE98">#REF!</definedName>
    <definedName name="NEW" localSheetId="8">{"Compustat","93439010","LC992/Q27/q20","Q","2/1/1992","8/27/95","V"}</definedName>
    <definedName name="NEW" localSheetId="9">{"Compustat","93439010","LC992/Q27/q20","Q","2/1/1992","8/27/95","V"}</definedName>
    <definedName name="NEW" localSheetId="6">{"Compustat","93439010","LC992/Q27/q20","Q","2/1/1992","8/27/95","V"}</definedName>
    <definedName name="NEW" localSheetId="1">{"Compustat","93439010","LC992/Q27/q20","Q","2/1/1992","8/27/95","V"}</definedName>
    <definedName name="NEW" localSheetId="7">{"Compustat","93439010","LC992/Q27/q20","Q","2/1/1992","8/27/95","V"}</definedName>
    <definedName name="NEW" localSheetId="2">{"Compustat","93439010","LC992/Q27/q20","Q","2/1/1992","8/27/95","V"}</definedName>
    <definedName name="NEW">{"Compustat","93439010","LC992/Q27/q20","Q","2/1/1992","8/27/95","V"}</definedName>
    <definedName name="NewRange" localSheetId="9" hidden="1">'Assumption 2 Documentation'!NewRange</definedName>
    <definedName name="NewRange" localSheetId="6" hidden="1">'Assumptions 1 Documentation'!NewRange</definedName>
    <definedName name="NewRange" localSheetId="7" hidden="1">GDP!NewRange</definedName>
    <definedName name="NewRange" hidden="1">[0]!NewRange</definedName>
    <definedName name="nfdcase">#REF!</definedName>
    <definedName name="nfnewgrowth">#REF!</definedName>
    <definedName name="nfrcase">#REF!</definedName>
    <definedName name="ngpmargin">#REF!</definedName>
    <definedName name="nlgrowth">#REF!</definedName>
    <definedName name="notes">#REF!</definedName>
    <definedName name="notes2">#REF!</definedName>
    <definedName name="npv_comparables">#REF!</definedName>
    <definedName name="nsgamargin">#REF!</definedName>
    <definedName name="NVH">#REF!</definedName>
    <definedName name="OFFER">#REF!</definedName>
    <definedName name="OfferPrice">#REF!</definedName>
    <definedName name="offpr">#REF!</definedName>
    <definedName name="ohiogp">#REF!</definedName>
    <definedName name="ohiorev">#REF!</definedName>
    <definedName name="ohiosga">#REF!</definedName>
    <definedName name="OnShow" localSheetId="9">'Assumption 2 Documentation'!OnShow</definedName>
    <definedName name="OnShow" localSheetId="6">'Assumptions 1 Documentation'!OnShow</definedName>
    <definedName name="OnShow" localSheetId="7">GDP!OnShow</definedName>
    <definedName name="OnShow">[0]!OnShow</definedName>
    <definedName name="OpeningBkDebt">SUM(#REF!)</definedName>
    <definedName name="openingcash">#REF!</definedName>
    <definedName name="OpeningDebt">#REF!</definedName>
    <definedName name="OpeningEquity">#REF!</definedName>
    <definedName name="OpeningSrDebt">SUM(#REF!)</definedName>
    <definedName name="operexp">#REF!</definedName>
    <definedName name="opex">#REF!</definedName>
    <definedName name="opex2">#REF!</definedName>
    <definedName name="OPT_PRICE">#REF!</definedName>
    <definedName name="OPTIONS">#REF!</definedName>
    <definedName name="othass">#REF!</definedName>
    <definedName name="othass2">#REF!</definedName>
    <definedName name="other">#REF!</definedName>
    <definedName name="other2">#REF!</definedName>
    <definedName name="Overhead">#REF!</definedName>
    <definedName name="OWN">#REF!</definedName>
    <definedName name="P.Close">#N/A</definedName>
    <definedName name="P.Comp">#N/A</definedName>
    <definedName name="P.CompIndex">#N/A</definedName>
    <definedName name="P.Date">#N/A</definedName>
    <definedName name="P.Date2">#N/A</definedName>
    <definedName name="P.Date3">#N/A</definedName>
    <definedName name="P.Date4">#N/A</definedName>
    <definedName name="P.FirstRow">#N/A</definedName>
    <definedName name="P.High">#N/A</definedName>
    <definedName name="P.Holidays">#N/A</definedName>
    <definedName name="P.LastRow">#N/A</definedName>
    <definedName name="P.Low">#N/A</definedName>
    <definedName name="P.PE">#N/A</definedName>
    <definedName name="P.Vol">#N/A</definedName>
    <definedName name="P.Yield">#N/A</definedName>
    <definedName name="P_L">#REF!</definedName>
    <definedName name="P_NTM">#REF!</definedName>
    <definedName name="Page_1">#REF!</definedName>
    <definedName name="Page_2">#REF!</definedName>
    <definedName name="Page_3">#REF!</definedName>
    <definedName name="Page_4">#REF!</definedName>
    <definedName name="PAGE_5">#REF!</definedName>
    <definedName name="PAGE_6">#REF!</definedName>
    <definedName name="page1">#REF!</definedName>
    <definedName name="Page13">#REF!</definedName>
    <definedName name="Page14">#REF!</definedName>
    <definedName name="PAGE1A">#REF!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steGraph" localSheetId="9">'Assumption 2 Documentation'!PasteGraph</definedName>
    <definedName name="PasteGraph" localSheetId="6">'Assumptions 1 Documentation'!PasteGraph</definedName>
    <definedName name="PasteGraph" localSheetId="7">GDP!PasteGraph</definedName>
    <definedName name="PasteGraph">[0]!PasteGraph</definedName>
    <definedName name="paydays">#REF!</definedName>
    <definedName name="PD_adj">#REF!</definedName>
    <definedName name="Performance_Discount">0.2</definedName>
    <definedName name="PFPRICE">#REF!</definedName>
    <definedName name="PFPRICE2">#REF!</definedName>
    <definedName name="pik">#REF!</definedName>
    <definedName name="PIKPref">#REF!</definedName>
    <definedName name="PIKTERM">#REF!</definedName>
    <definedName name="PIKTERM1">#REF!</definedName>
    <definedName name="POOL">#REF!</definedName>
    <definedName name="PORTION">#REF!</definedName>
    <definedName name="PrefInvest">#REF!</definedName>
    <definedName name="premium">#REF!</definedName>
    <definedName name="prepoth">#REF!</definedName>
    <definedName name="price">#REF!</definedName>
    <definedName name="price4">#REF!</definedName>
    <definedName name="priceacq">#REF!</definedName>
    <definedName name="pricetar">#REF!</definedName>
    <definedName name="PRIDES" localSheetId="8">'AS2'!PRIDES</definedName>
    <definedName name="PRIDES" localSheetId="9">'Assumption 2 Documentation'!PRIDES</definedName>
    <definedName name="PRIDES" localSheetId="6">'Assumptions 1 Documentation'!PRIDES</definedName>
    <definedName name="PRIDES" localSheetId="1">DCF!PRIDES</definedName>
    <definedName name="PRIDES" localSheetId="7">GDP!PRIDES</definedName>
    <definedName name="PRIDES" localSheetId="2">NWC!PRIDES</definedName>
    <definedName name="PRIDES">[0]!PRIDES</definedName>
    <definedName name="Prime">#REF!</definedName>
    <definedName name="_xlnm.Print_Area" localSheetId="1">DCF!$A$1:$O$53,DCF!$A$70:$O$102</definedName>
    <definedName name="_xlnm.Print_Area" localSheetId="3">WACC!$A$1:$M$37</definedName>
    <definedName name="Print_Area_MI">#REF!</definedName>
    <definedName name="PRINT10">#REF!</definedName>
    <definedName name="PRINT12">#REF!</definedName>
    <definedName name="PRINT13">#REF!</definedName>
    <definedName name="PRINT14">#REF!</definedName>
    <definedName name="PRINT4">#REF!</definedName>
    <definedName name="PRINT6">#REF!</definedName>
    <definedName name="PRINT8">#REF!</definedName>
    <definedName name="PrintPreview" localSheetId="9">'Assumption 2 Documentation'!PrintPreview</definedName>
    <definedName name="PrintPreview" localSheetId="6">'Assumptions 1 Documentation'!PrintPreview</definedName>
    <definedName name="PrintPreview" localSheetId="7">GDP!PrintPreview</definedName>
    <definedName name="PrintPreview">[0]!PrintPreview</definedName>
    <definedName name="PRINTREPORT">#REF!</definedName>
    <definedName name="prive4">#REF!</definedName>
    <definedName name="project">#REF!</definedName>
    <definedName name="ProjectName">#REF!</definedName>
    <definedName name="Prt.Stock.Prices">#N/A</definedName>
    <definedName name="Q.Date">#N/A</definedName>
    <definedName name="Q.DateEOM">#N/A</definedName>
    <definedName name="Q.DPS">#N/A</definedName>
    <definedName name="Q.EPS">#N/A</definedName>
    <definedName name="Q.FirstRow">#N/A</definedName>
    <definedName name="Q.LastRow">#N/A</definedName>
    <definedName name="qgq" localSheetId="9" hidden="1">'Assumption 2 Documentation'!qgq</definedName>
    <definedName name="qgq" localSheetId="6" hidden="1">'Assumptions 1 Documentation'!qgq</definedName>
    <definedName name="qgq" localSheetId="7" hidden="1">GDP!qgq</definedName>
    <definedName name="qgq" hidden="1">[0]!qgq</definedName>
    <definedName name="RAT_A">#REF!</definedName>
    <definedName name="RAT_T">#REF!</definedName>
    <definedName name="ratio1pfma">#REF!</definedName>
    <definedName name="RATIOS">#REF!</definedName>
    <definedName name="rdcase">#REF!</definedName>
    <definedName name="RecapOwn">#REF!</definedName>
    <definedName name="RecapPur">#REF!</definedName>
    <definedName name="RedefinePrintTableRange" localSheetId="9" hidden="1">'Assumption 2 Documentation'!RedefinePrintTableRange</definedName>
    <definedName name="RedefinePrintTableRange" localSheetId="6" hidden="1">'Assumptions 1 Documentation'!RedefinePrintTableRange</definedName>
    <definedName name="RedefinePrintTableRange" localSheetId="7" hidden="1">GDP!RedefinePrintTableRange</definedName>
    <definedName name="RedefinePrintTableRange" hidden="1">[0]!RedefinePrintTableRange</definedName>
    <definedName name="reg" localSheetId="9" hidden="1">{"Page1",#N/A,FALSE,"CompCo";"Page2",#N/A,FALSE,"CompCo"}</definedName>
    <definedName name="reg" localSheetId="6" hidden="1">{"Page1",#N/A,FALSE,"CompCo";"Page2",#N/A,FALSE,"CompCo"}</definedName>
    <definedName name="reg" localSheetId="7" hidden="1">{"Page1",#N/A,FALSE,"CompCo";"Page2",#N/A,FALSE,"CompCo"}</definedName>
    <definedName name="reg" hidden="1">{"Page1",#N/A,FALSE,"CompCo";"Page2",#N/A,FALSE,"CompCo"}</definedName>
    <definedName name="regerger" localSheetId="9">'Assumption 2 Documentation'!regerger</definedName>
    <definedName name="regerger" localSheetId="6">'Assumptions 1 Documentation'!regerger</definedName>
    <definedName name="regerger" localSheetId="7">GDP!regerger</definedName>
    <definedName name="regerger">[0]!regerger</definedName>
    <definedName name="REPURCHASE">#REF!</definedName>
    <definedName name="ResetItemView" localSheetId="9">'Assumption 2 Documentation'!ResetItemView</definedName>
    <definedName name="ResetItemView" localSheetId="6">'Assumptions 1 Documentation'!ResetItemView</definedName>
    <definedName name="ResetItemView" localSheetId="7">GDP!ResetItemView</definedName>
    <definedName name="ResetItemView">[0]!ResetItemView</definedName>
    <definedName name="RETURN">#REF!</definedName>
    <definedName name="ReturnOnCash">#REF!</definedName>
    <definedName name="rev">#REF!</definedName>
    <definedName name="revenues2">#REF!</definedName>
    <definedName name="reveunes2">#REF!</definedName>
    <definedName name="rg" localSheetId="9" hidden="1">{"inputs raw data",#N/A,TRUE,"INPUT"}</definedName>
    <definedName name="rg" localSheetId="6" hidden="1">{"inputs raw data",#N/A,TRUE,"INPUT"}</definedName>
    <definedName name="rg" localSheetId="7" hidden="1">{"inputs raw data",#N/A,TRUE,"INPUT"}</definedName>
    <definedName name="rg" hidden="1">{"inputs raw data",#N/A,TRUE,"INPUT"}</definedName>
    <definedName name="rgw" localSheetId="9" hidden="1">'Assumption 2 Documentation'!rgw</definedName>
    <definedName name="rgw" localSheetId="6" hidden="1">'Assumptions 1 Documentation'!rgw</definedName>
    <definedName name="rgw" localSheetId="7" hidden="1">GDP!rgw</definedName>
    <definedName name="rgw" hidden="1">[0]!rgw</definedName>
    <definedName name="rnumber">#REF!</definedName>
    <definedName name="rocogs">#REF!</definedName>
    <definedName name="roopex">#REF!</definedName>
    <definedName name="rorev">#REF!</definedName>
    <definedName name="royalties">#REF!</definedName>
    <definedName name="Rpt.Table">#N/A</definedName>
    <definedName name="Rpt.Text">#N/A</definedName>
    <definedName name="rrcase">#REF!</definedName>
    <definedName name="rrevgrowth">#REF!</definedName>
    <definedName name="rt" localSheetId="9" hidden="1">'Assumption 2 Documentation'!rt</definedName>
    <definedName name="rt" localSheetId="6" hidden="1">'Assumptions 1 Documentation'!rt</definedName>
    <definedName name="rt" localSheetId="7" hidden="1">GDP!rt</definedName>
    <definedName name="rt" hidden="1">[0]!rt</definedName>
    <definedName name="rth" localSheetId="9">'Assumption 2 Documentation'!rth</definedName>
    <definedName name="rth" localSheetId="6">'Assumptions 1 Documentation'!rth</definedName>
    <definedName name="rth" localSheetId="7">GDP!rth</definedName>
    <definedName name="rth">[0]!rth</definedName>
    <definedName name="rthtrh" localSheetId="9">'Assumption 2 Documentation'!rthtrh</definedName>
    <definedName name="rthtrh" localSheetId="6">'Assumptions 1 Documentation'!rthtrh</definedName>
    <definedName name="rthtrh" localSheetId="7">GDP!rthtrh</definedName>
    <definedName name="rthtrh">[0]!rthtrh</definedName>
    <definedName name="s" localSheetId="9" hidden="1">{"Page1",#N/A,FALSE,"CompCo";"Page2",#N/A,FALSE,"CompCo"}</definedName>
    <definedName name="s" localSheetId="6" hidden="1">{"Page1",#N/A,FALSE,"CompCo";"Page2",#N/A,FALSE,"CompCo"}</definedName>
    <definedName name="s" localSheetId="7" hidden="1">{"Page1",#N/A,FALSE,"CompCo";"Page2",#N/A,FALSE,"CompCo"}</definedName>
    <definedName name="s" hidden="1">{"Page1",#N/A,FALSE,"CompCo";"Page2",#N/A,FALSE,"CompCo"}</definedName>
    <definedName name="S.AllColumns">#N/A</definedName>
    <definedName name="S.AllPriceColumns">#N/A</definedName>
    <definedName name="S.SortColumn" localSheetId="8">[0]!T.Date</definedName>
    <definedName name="S.SortColumn" localSheetId="9">[0]!T.Date</definedName>
    <definedName name="S.SortColumn" localSheetId="6">[0]!T.Date</definedName>
    <definedName name="S.SortColumn" localSheetId="1">[0]!T.Date</definedName>
    <definedName name="S.SortColumn" localSheetId="7">[0]!T.Date</definedName>
    <definedName name="S.SortColumn" localSheetId="2">[0]!T.Date</definedName>
    <definedName name="S.SortColumn">[0]!T.Date</definedName>
    <definedName name="sa" hidden="1">"c3460"</definedName>
    <definedName name="sadas" localSheetId="9" hidden="1">'Assumption 2 Documentation'!sadas</definedName>
    <definedName name="sadas" localSheetId="6" hidden="1">'Assumptions 1 Documentation'!sadas</definedName>
    <definedName name="sadas" localSheetId="7" hidden="1">GDP!sadas</definedName>
    <definedName name="sadas" hidden="1">[0]!sadas</definedName>
    <definedName name="safas" localSheetId="9" hidden="1">'Assumption 2 Documentation'!safas</definedName>
    <definedName name="safas" localSheetId="6" hidden="1">'Assumptions 1 Documentation'!safas</definedName>
    <definedName name="safas" localSheetId="7" hidden="1">GDP!safas</definedName>
    <definedName name="safas" hidden="1">[0]!safas</definedName>
    <definedName name="sales">#REF!</definedName>
    <definedName name="sales1">#REF!</definedName>
    <definedName name="sales3">#REF!</definedName>
    <definedName name="sales4">#REF!</definedName>
    <definedName name="salesebitda">#REF!</definedName>
    <definedName name="SCEN">#REF!</definedName>
    <definedName name="scenario">#REF!</definedName>
    <definedName name="ScenarioName">#REF!</definedName>
    <definedName name="ScenarioName1">#REF!</definedName>
    <definedName name="ScenarioName2">#REF!</definedName>
    <definedName name="sd" hidden="1">"c2903"</definedName>
    <definedName name="sdfdfg" localSheetId="9" hidden="1">{"Clothing PL",#N/A,FALSE,"H1H2";"Food PL",#N/A,FALSE,"H1H2";"Group PL",#N/A,FALSE,"H1H2";"Home Furnishings PL",#N/A,FALSE,"H1H2";"LFL assumptions",#N/A,FALSE,"H1H2";"Sales by division",#N/A,FALSE,"H1H2";"UK Retail PL",#N/A,FALSE,"H1H2"}</definedName>
    <definedName name="sdfdfg" localSheetId="6" hidden="1">{"Clothing PL",#N/A,FALSE,"H1H2";"Food PL",#N/A,FALSE,"H1H2";"Group PL",#N/A,FALSE,"H1H2";"Home Furnishings PL",#N/A,FALSE,"H1H2";"LFL assumptions",#N/A,FALSE,"H1H2";"Sales by division",#N/A,FALSE,"H1H2";"UK Retail PL",#N/A,FALSE,"H1H2"}</definedName>
    <definedName name="sdfdfg" localSheetId="7" hidden="1">{"Clothing PL",#N/A,FALSE,"H1H2";"Food PL",#N/A,FALSE,"H1H2";"Group PL",#N/A,FALSE,"H1H2";"Home Furnishings PL",#N/A,FALSE,"H1H2";"LFL assumptions",#N/A,FALSE,"H1H2";"Sales by division",#N/A,FALSE,"H1H2";"UK Retail PL",#N/A,FALSE,"H1H2"}</definedName>
    <definedName name="sdfdfg" hidden="1">{"Clothing PL",#N/A,FALSE,"H1H2";"Food PL",#N/A,FALSE,"H1H2";"Group PL",#N/A,FALSE,"H1H2";"Home Furnishings PL",#N/A,FALSE,"H1H2";"LFL assumptions",#N/A,FALSE,"H1H2";"Sales by division",#N/A,FALSE,"H1H2";"UK Retail PL",#N/A,FALSE,"H1H2"}</definedName>
    <definedName name="sdfdfsg" localSheetId="9" hidden="1">'Assumption 2 Documentation'!sdfdfsg</definedName>
    <definedName name="sdfdfsg" localSheetId="6" hidden="1">'Assumptions 1 Documentation'!sdfdfsg</definedName>
    <definedName name="sdfdfsg" localSheetId="7" hidden="1">GDP!sdfdfsg</definedName>
    <definedName name="sdfdfsg" hidden="1">[0]!sdfdfsg</definedName>
    <definedName name="sdfds" localSheetId="9">'Assumption 2 Documentation'!sdfds</definedName>
    <definedName name="sdfds" localSheetId="6">'Assumptions 1 Documentation'!sdfds</definedName>
    <definedName name="sdfds" localSheetId="7">GDP!sdfds</definedName>
    <definedName name="sdfds">[0]!sdfds</definedName>
    <definedName name="sdfdsfds" localSheetId="9">'Assumption 2 Documentation'!sdfdsfds</definedName>
    <definedName name="sdfdsfds" localSheetId="6">'Assumptions 1 Documentation'!sdfdsfds</definedName>
    <definedName name="sdfdsfds" localSheetId="7">GDP!sdfdsfds</definedName>
    <definedName name="sdfdsfds">[0]!sdfdsfds</definedName>
    <definedName name="sdfgdgf" localSheetId="9" hidden="1">{"Page1",#N/A,FALSE,"CompCo";"Page2",#N/A,FALSE,"CompCo"}</definedName>
    <definedName name="sdfgdgf" localSheetId="6" hidden="1">{"Page1",#N/A,FALSE,"CompCo";"Page2",#N/A,FALSE,"CompCo"}</definedName>
    <definedName name="sdfgdgf" localSheetId="7" hidden="1">{"Page1",#N/A,FALSE,"CompCo";"Page2",#N/A,FALSE,"CompCo"}</definedName>
    <definedName name="sdfgdgf" hidden="1">{"Page1",#N/A,FALSE,"CompCo";"Page2",#N/A,FALSE,"CompCo"}</definedName>
    <definedName name="sdfgdsg"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dsg"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dfgfdsg" localSheetId="9" hidden="1">{"summary1",#N/A,TRUE,"Comps";"summary2",#N/A,TRUE,"Comps";"summary3",#N/A,TRUE,"Comps"}</definedName>
    <definedName name="sdfgfdsg" localSheetId="6" hidden="1">{"summary1",#N/A,TRUE,"Comps";"summary2",#N/A,TRUE,"Comps";"summary3",#N/A,TRUE,"Comps"}</definedName>
    <definedName name="sdfgfdsg" localSheetId="7" hidden="1">{"summary1",#N/A,TRUE,"Comps";"summary2",#N/A,TRUE,"Comps";"summary3",#N/A,TRUE,"Comps"}</definedName>
    <definedName name="sdfgfdsg" hidden="1">{"summary1",#N/A,TRUE,"Comps";"summary2",#N/A,TRUE,"Comps";"summary3",#N/A,TRUE,"Comps"}</definedName>
    <definedName name="sdfgfsd" localSheetId="9" hidden="1">{#N/A,#N/A,FALSE,"H1H2";"Sales by division",#N/A,FALSE,"H1H2";"LFL assumptions",#N/A,FALSE,"H1H2"}</definedName>
    <definedName name="sdfgfsd" localSheetId="6" hidden="1">{#N/A,#N/A,FALSE,"H1H2";"Sales by division",#N/A,FALSE,"H1H2";"LFL assumptions",#N/A,FALSE,"H1H2"}</definedName>
    <definedName name="sdfgfsd" localSheetId="7" hidden="1">{#N/A,#N/A,FALSE,"H1H2";"Sales by division",#N/A,FALSE,"H1H2";"LFL assumptions",#N/A,FALSE,"H1H2"}</definedName>
    <definedName name="sdfgfsd" hidden="1">{#N/A,#N/A,FALSE,"H1H2";"Sales by division",#N/A,FALSE,"H1H2";"LFL assumptions",#N/A,FALSE,"H1H2"}</definedName>
    <definedName name="sdfsd" localSheetId="9" hidden="1">'Assumption 2 Documentation'!sdfsd</definedName>
    <definedName name="sdfsd" localSheetId="6" hidden="1">'Assumptions 1 Documentation'!sdfsd</definedName>
    <definedName name="sdfsd" localSheetId="7" hidden="1">GDP!sdfsd</definedName>
    <definedName name="sdfsd" hidden="1">[0]!sdfsd</definedName>
    <definedName name="sdfsdf" localSheetId="9">'Assumption 2 Documentation'!sdfsdf</definedName>
    <definedName name="sdfsdf" localSheetId="6">'Assumptions 1 Documentation'!sdfsdf</definedName>
    <definedName name="sdfsdf" localSheetId="7">GDP!sdfsdf</definedName>
    <definedName name="sdfsdf">[0]!sdfsdf</definedName>
    <definedName name="sdgfds" localSheetId="9" hidden="1">'Assumption 2 Documentation'!sdgfds</definedName>
    <definedName name="sdgfds" localSheetId="6" hidden="1">'Assumptions 1 Documentation'!sdgfds</definedName>
    <definedName name="sdgfds" localSheetId="7" hidden="1">GDP!sdgfds</definedName>
    <definedName name="sdgfds" hidden="1">[0]!sdgfds</definedName>
    <definedName name="sdgsdfg" localSheetId="9" hidden="1">'Assumption 2 Documentation'!sdgsdfg</definedName>
    <definedName name="sdgsdfg" localSheetId="6" hidden="1">'Assumptions 1 Documentation'!sdgsdfg</definedName>
    <definedName name="sdgsdfg" localSheetId="7" hidden="1">GDP!sdgsdfg</definedName>
    <definedName name="sdgsdfg" hidden="1">[0]!sdgsdfg</definedName>
    <definedName name="SdSfg" localSheetId="9" hidden="1">{"Clothing PL",#N/A,FALSE,"H1H2";"Food PL",#N/A,FALSE,"H1H2";"Group PL",#N/A,FALSE,"H1H2";"Home Furnishings PL",#N/A,FALSE,"H1H2";"LFL assumptions",#N/A,FALSE,"H1H2";"Sales by division",#N/A,FALSE,"H1H2";"UK Retail PL",#N/A,FALSE,"H1H2"}</definedName>
    <definedName name="SdSfg" localSheetId="6" hidden="1">{"Clothing PL",#N/A,FALSE,"H1H2";"Food PL",#N/A,FALSE,"H1H2";"Group PL",#N/A,FALSE,"H1H2";"Home Furnishings PL",#N/A,FALSE,"H1H2";"LFL assumptions",#N/A,FALSE,"H1H2";"Sales by division",#N/A,FALSE,"H1H2";"UK Retail PL",#N/A,FALSE,"H1H2"}</definedName>
    <definedName name="SdSfg" localSheetId="7" hidden="1">{"Clothing PL",#N/A,FALSE,"H1H2";"Food PL",#N/A,FALSE,"H1H2";"Group PL",#N/A,FALSE,"H1H2";"Home Furnishings PL",#N/A,FALSE,"H1H2";"LFL assumptions",#N/A,FALSE,"H1H2";"Sales by division",#N/A,FALSE,"H1H2";"UK Retail PL",#N/A,FALSE,"H1H2"}</definedName>
    <definedName name="SdSfg" hidden="1">{"Clothing PL",#N/A,FALSE,"H1H2";"Food PL",#N/A,FALSE,"H1H2";"Group PL",#N/A,FALSE,"H1H2";"Home Furnishings PL",#N/A,FALSE,"H1H2";"LFL assumptions",#N/A,FALSE,"H1H2";"Sales by division",#N/A,FALSE,"H1H2";"UK Retail PL",#N/A,FALSE,"H1H2"}</definedName>
    <definedName name="Seal">#REF!</definedName>
    <definedName name="sens">#REF!</definedName>
    <definedName name="Sensitivities2">#REF!</definedName>
    <definedName name="SeriesFormat" localSheetId="9">'Assumption 2 Documentation'!SeriesFormat</definedName>
    <definedName name="SeriesFormat" localSheetId="6">'Assumptions 1 Documentation'!SeriesFormat</definedName>
    <definedName name="SeriesFormat" localSheetId="7">GDP!SeriesFormat</definedName>
    <definedName name="SeriesFormat">[0]!SeriesFormat</definedName>
    <definedName name="sf" hidden="1">39420.9212731481</definedName>
    <definedName name="sfaas" localSheetId="9">'Assumption 2 Documentation'!sfaas</definedName>
    <definedName name="sfaas" localSheetId="6">'Assumptions 1 Documentation'!sfaas</definedName>
    <definedName name="sfaas" localSheetId="7">GDP!sfaas</definedName>
    <definedName name="sfaas">[0]!sfaas</definedName>
    <definedName name="sfgf" localSheetId="9" hidden="1">'Assumption 2 Documentation'!sfgf</definedName>
    <definedName name="sfgf" localSheetId="6" hidden="1">'Assumptions 1 Documentation'!sfgf</definedName>
    <definedName name="sfgf" localSheetId="7" hidden="1">GDP!sfgf</definedName>
    <definedName name="sfgf" hidden="1">[0]!sfgf</definedName>
    <definedName name="sfgsdg" localSheetId="9" hidden="1">'Assumption 2 Documentation'!sfgsdg</definedName>
    <definedName name="sfgsdg" localSheetId="6" hidden="1">'Assumptions 1 Documentation'!sfgsdg</definedName>
    <definedName name="sfgsdg" localSheetId="7" hidden="1">GDP!sfgsdg</definedName>
    <definedName name="sfgsdg" hidden="1">[0]!sfgsdg</definedName>
    <definedName name="sfsdc"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dc"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sfsfds" localSheetId="9">'Assumption 2 Documentation'!sfsfds</definedName>
    <definedName name="sfsfds" localSheetId="6">'Assumptions 1 Documentation'!sfsfds</definedName>
    <definedName name="sfsfds" localSheetId="7">GDP!sfsfds</definedName>
    <definedName name="sfsfds">[0]!sfsfds</definedName>
    <definedName name="SGA">#REF!</definedName>
    <definedName name="shares">#REF!</definedName>
    <definedName name="ShowData" localSheetId="9">'Assumption 2 Documentation'!ShowData</definedName>
    <definedName name="ShowData" localSheetId="6">'Assumptions 1 Documentation'!ShowData</definedName>
    <definedName name="ShowData" localSheetId="7">GDP!ShowData</definedName>
    <definedName name="ShowData">[0]!ShowData</definedName>
    <definedName name="ShowDottedLine" localSheetId="9">'Assumption 2 Documentation'!ShowDottedLine</definedName>
    <definedName name="ShowDottedLine" localSheetId="6">'Assumptions 1 Documentation'!ShowDottedLine</definedName>
    <definedName name="ShowDottedLine" localSheetId="7">GDP!ShowDottedLine</definedName>
    <definedName name="ShowDottedLine">[0]!ShowDottedLine</definedName>
    <definedName name="ShowGraph" localSheetId="9">'Assumption 2 Documentation'!ShowGraph</definedName>
    <definedName name="ShowGraph" localSheetId="6">'Assumptions 1 Documentation'!ShowGraph</definedName>
    <definedName name="ShowGraph" localSheetId="7">GDP!ShowGraph</definedName>
    <definedName name="ShowGraph">[0]!ShowGraph</definedName>
    <definedName name="shshryhasyhj" localSheetId="9" hidden="1">'Assumption 2 Documentation'!shshryhasyhj</definedName>
    <definedName name="shshryhasyhj" localSheetId="6" hidden="1">'Assumptions 1 Documentation'!shshryhasyhj</definedName>
    <definedName name="shshryhasyhj" localSheetId="7" hidden="1">GDP!shshryhasyhj</definedName>
    <definedName name="shshryhasyhj" hidden="1">[0]!shshryhasyhj</definedName>
    <definedName name="shss" localSheetId="9" hidden="1">'Assumption 2 Documentation'!shss</definedName>
    <definedName name="shss" localSheetId="6" hidden="1">'Assumptions 1 Documentation'!shss</definedName>
    <definedName name="shss" localSheetId="7" hidden="1">GDP!shss</definedName>
    <definedName name="shss" hidden="1">[0]!shss</definedName>
    <definedName name="slc99mod.xls">#REF!</definedName>
    <definedName name="sName" localSheetId="8">'AS2'!sName</definedName>
    <definedName name="sName" localSheetId="9">'Assumption 2 Documentation'!sName</definedName>
    <definedName name="sName" localSheetId="6">'Assumptions 1 Documentation'!sName</definedName>
    <definedName name="sName" localSheetId="1">DCF!sName</definedName>
    <definedName name="sName" localSheetId="7">GDP!sName</definedName>
    <definedName name="sName" localSheetId="2">NWC!sName</definedName>
    <definedName name="sName">[0]!sName</definedName>
    <definedName name="sName2" localSheetId="8">'AS2'!sName2</definedName>
    <definedName name="sName2" localSheetId="9">'Assumption 2 Documentation'!sName2</definedName>
    <definedName name="sName2" localSheetId="6">'Assumptions 1 Documentation'!sName2</definedName>
    <definedName name="sName2" localSheetId="1">DCF!sName2</definedName>
    <definedName name="sName2" localSheetId="7">GDP!sName2</definedName>
    <definedName name="sName2" localSheetId="2">NWC!sName2</definedName>
    <definedName name="sName2">[0]!sName2</definedName>
    <definedName name="solver_adj" localSheetId="1" hidden="1">DCF!#REF!</definedName>
    <definedName name="solver_adj" localSheetId="3" hidden="1">WACC!#REF!</definedName>
    <definedName name="solver_cvg" localSheetId="1" hidden="1">0.0001</definedName>
    <definedName name="solver_cvg" localSheetId="3" hidden="1">0.0001</definedName>
    <definedName name="solver_drv" localSheetId="1" hidden="1">1</definedName>
    <definedName name="solver_drv" localSheetId="3" hidden="1">1</definedName>
    <definedName name="solver_est" localSheetId="1" hidden="1">1</definedName>
    <definedName name="solver_est" localSheetId="3" hidden="1">1</definedName>
    <definedName name="solver_itr" localSheetId="1" hidden="1">100</definedName>
    <definedName name="solver_itr" localSheetId="3" hidden="1">100</definedName>
    <definedName name="solver_lin" localSheetId="1" hidden="1">2</definedName>
    <definedName name="solver_lin" localSheetId="3" hidden="1">2</definedName>
    <definedName name="solver_neg" localSheetId="1" hidden="1">2</definedName>
    <definedName name="solver_neg" localSheetId="3" hidden="1">2</definedName>
    <definedName name="solver_num" localSheetId="1" hidden="1">0</definedName>
    <definedName name="solver_num" localSheetId="3" hidden="1">0</definedName>
    <definedName name="solver_nwt" localSheetId="1" hidden="1">1</definedName>
    <definedName name="solver_nwt" localSheetId="3" hidden="1">1</definedName>
    <definedName name="solver_opt" localSheetId="1" hidden="1">DCF!$O$37</definedName>
    <definedName name="solver_opt" localSheetId="3" hidden="1">WACC!#REF!</definedName>
    <definedName name="solver_pre" localSheetId="1" hidden="1">0.000001</definedName>
    <definedName name="solver_pre" localSheetId="3" hidden="1">0.000001</definedName>
    <definedName name="solver_scl" localSheetId="1" hidden="1">2</definedName>
    <definedName name="solver_scl" localSheetId="3" hidden="1">2</definedName>
    <definedName name="solver_sho" localSheetId="1" hidden="1">2</definedName>
    <definedName name="solver_sho" localSheetId="3" hidden="1">2</definedName>
    <definedName name="solver_tim" localSheetId="1" hidden="1">100</definedName>
    <definedName name="solver_tim" localSheetId="3" hidden="1">100</definedName>
    <definedName name="solver_tol" localSheetId="1" hidden="1">0.05</definedName>
    <definedName name="solver_tol" localSheetId="3" hidden="1">0.05</definedName>
    <definedName name="solver_typ" localSheetId="1" hidden="1">3</definedName>
    <definedName name="solver_typ" localSheetId="3" hidden="1">3</definedName>
    <definedName name="solver_val" localSheetId="1" hidden="1">0.03</definedName>
    <definedName name="solver_val" localSheetId="3" hidden="1">0.429</definedName>
    <definedName name="sop">#REF!</definedName>
    <definedName name="spsales">#REF!</definedName>
    <definedName name="ss">#REF!</definedName>
    <definedName name="ssadsa" localSheetId="9" hidden="1">{"Page1",#N/A,FALSE,"CompCo";"Page2",#N/A,FALSE,"CompCo"}</definedName>
    <definedName name="ssadsa" localSheetId="6" hidden="1">{"Page1",#N/A,FALSE,"CompCo";"Page2",#N/A,FALSE,"CompCo"}</definedName>
    <definedName name="ssadsa" localSheetId="7" hidden="1">{"Page1",#N/A,FALSE,"CompCo";"Page2",#N/A,FALSE,"CompCo"}</definedName>
    <definedName name="ssadsa" hidden="1">{"Page1",#N/A,FALSE,"CompCo";"Page2",#N/A,FALSE,"CompCo"}</definedName>
    <definedName name="ssdfds" localSheetId="9" hidden="1">{"Page1",#N/A,FALSE,"CompCo";"Page2",#N/A,FALSE,"CompCo"}</definedName>
    <definedName name="ssdfds" localSheetId="6" hidden="1">{"Page1",#N/A,FALSE,"CompCo";"Page2",#N/A,FALSE,"CompCo"}</definedName>
    <definedName name="ssdfds" localSheetId="7" hidden="1">{"Page1",#N/A,FALSE,"CompCo";"Page2",#N/A,FALSE,"CompCo"}</definedName>
    <definedName name="ssdfds" hidden="1">{"Page1",#N/A,FALSE,"CompCo";"Page2",#N/A,FALSE,"CompCo"}</definedName>
    <definedName name="ssy" localSheetId="9" hidden="1">'Assumption 2 Documentation'!ssy</definedName>
    <definedName name="ssy" localSheetId="6" hidden="1">'Assumptions 1 Documentation'!ssy</definedName>
    <definedName name="ssy" localSheetId="7" hidden="1">GDP!ssy</definedName>
    <definedName name="ssy" hidden="1">[0]!ssy</definedName>
    <definedName name="street">#REF!</definedName>
    <definedName name="Structure">#REF!</definedName>
    <definedName name="Subheader">#REF!</definedName>
    <definedName name="SUMM">#REF!</definedName>
    <definedName name="summary_print">#REF!</definedName>
    <definedName name="sweep">#REF!</definedName>
    <definedName name="swingcogs">#REF!</definedName>
    <definedName name="swinggross">#REF!</definedName>
    <definedName name="swingop">#REF!</definedName>
    <definedName name="Synergies">#REF!</definedName>
    <definedName name="t" localSheetId="9" hidden="1">'Assumption 2 Documentation'!t</definedName>
    <definedName name="t" localSheetId="6" hidden="1">'Assumptions 1 Documentation'!t</definedName>
    <definedName name="t" localSheetId="7" hidden="1">GDP!t</definedName>
    <definedName name="t" hidden="1">[0]!t</definedName>
    <definedName name="T.Date">#N/A</definedName>
    <definedName name="T.Date2">#N/A</definedName>
    <definedName name="T.Date3">#N/A</definedName>
    <definedName name="T.DateEOM">#N/A</definedName>
    <definedName name="T.DPS">#N/A</definedName>
    <definedName name="T.EPS">#N/A</definedName>
    <definedName name="T.High">#N/A</definedName>
    <definedName name="T.Low">#N/A</definedName>
    <definedName name="T.PE">#N/A</definedName>
    <definedName name="T.Vol">#N/A</definedName>
    <definedName name="T.Yield">#N/A</definedName>
    <definedName name="tar">#REF!</definedName>
    <definedName name="TARG">#REF!</definedName>
    <definedName name="Target_adj">#REF!</definedName>
    <definedName name="tax">#REF!</definedName>
    <definedName name="tax_rate">0.38</definedName>
    <definedName name="TaxRate">#REF!</definedName>
    <definedName name="TenderFee">#REF!</definedName>
    <definedName name="TenderPremium">#REF!</definedName>
    <definedName name="TextFormat" localSheetId="9">'Assumption 2 Documentation'!TextFormat</definedName>
    <definedName name="TextFormat" localSheetId="6">'Assumptions 1 Documentation'!TextFormat</definedName>
    <definedName name="TextFormat" localSheetId="7">GDP!TextFormat</definedName>
    <definedName name="TextFormat">[0]!TextFormat</definedName>
    <definedName name="tg" localSheetId="9" hidden="1">{"bs",#N/A,FALSE,"SCF"}</definedName>
    <definedName name="tg" localSheetId="6" hidden="1">{"bs",#N/A,FALSE,"SCF"}</definedName>
    <definedName name="tg" localSheetId="7" hidden="1">{"bs",#N/A,FALSE,"SCF"}</definedName>
    <definedName name="tg" hidden="1">{"bs",#N/A,FALSE,"SCF"}</definedName>
    <definedName name="Tgt_adj">#REF!</definedName>
    <definedName name="TICKER">#REF!</definedName>
    <definedName name="TickerToNameOnEnter" localSheetId="9">'Assumption 2 Documentation'!TickerToNameOnEnter</definedName>
    <definedName name="TickerToNameOnEnter" localSheetId="6">'Assumptions 1 Documentation'!TickerToNameOnEnter</definedName>
    <definedName name="TickerToNameOnEnter" localSheetId="7">GDP!TickerToNameOnEnter</definedName>
    <definedName name="TickerToNameOnEnter">[0]!TickerToNameOnEnter</definedName>
    <definedName name="TOC">#REF!</definedName>
    <definedName name="TotalConsideration">#REF!</definedName>
    <definedName name="TotalEquity">#REF!</definedName>
    <definedName name="totalgross">#REF!</definedName>
    <definedName name="trh" localSheetId="9">'Assumption 2 Documentation'!trh</definedName>
    <definedName name="trh" localSheetId="6">'Assumptions 1 Documentation'!trh</definedName>
    <definedName name="trh" localSheetId="7">GDP!trh</definedName>
    <definedName name="trh">[0]!trh</definedName>
    <definedName name="TxGoodwillAmort">#REF!</definedName>
    <definedName name="ultragp">#REF!</definedName>
    <definedName name="ultrarev">#REF!</definedName>
    <definedName name="ultrasga">#REF!</definedName>
    <definedName name="UNPRIDES" localSheetId="8">'AS2'!UNPRIDES</definedName>
    <definedName name="UNPRIDES" localSheetId="9">'Assumption 2 Documentation'!UNPRIDES</definedName>
    <definedName name="UNPRIDES" localSheetId="6">'Assumptions 1 Documentation'!UNPRIDES</definedName>
    <definedName name="UNPRIDES" localSheetId="1">DCF!UNPRIDES</definedName>
    <definedName name="UNPRIDES" localSheetId="7">GDP!UNPRIDES</definedName>
    <definedName name="UNPRIDES" localSheetId="2">NWC!UNPRIDES</definedName>
    <definedName name="UNPRIDES">[0]!UNPRIDES</definedName>
    <definedName name="v" localSheetId="9" hidden="1">'Assumption 2 Documentation'!v</definedName>
    <definedName name="v" localSheetId="6" hidden="1">'Assumptions 1 Documentation'!v</definedName>
    <definedName name="v" localSheetId="7" hidden="1">GDP!v</definedName>
    <definedName name="v" hidden="1">[0]!v</definedName>
    <definedName name="vaaaaaavavv" localSheetId="9" hidden="1">'Assumption 2 Documentation'!vaaaaaavavv</definedName>
    <definedName name="vaaaaaavavv" localSheetId="6" hidden="1">'Assumptions 1 Documentation'!vaaaaaavavv</definedName>
    <definedName name="vaaaaaavavv" localSheetId="7" hidden="1">GDP!vaaaaaavavv</definedName>
    <definedName name="vaaaaaavavv" hidden="1">[0]!vaaaaaavavv</definedName>
    <definedName name="vangp">#REF!</definedName>
    <definedName name="vanrev">#REF!</definedName>
    <definedName name="vansga">#REF!</definedName>
    <definedName name="w" localSheetId="9" hidden="1">{#N/A,#N/A,FALSE,"H1H2";"Sales by division",#N/A,FALSE,"H1H2";"LFL assumptions",#N/A,FALSE,"H1H2"}</definedName>
    <definedName name="w" localSheetId="6" hidden="1">{#N/A,#N/A,FALSE,"H1H2";"Sales by division",#N/A,FALSE,"H1H2";"LFL assumptions",#N/A,FALSE,"H1H2"}</definedName>
    <definedName name="w" localSheetId="7" hidden="1">{#N/A,#N/A,FALSE,"H1H2";"Sales by division",#N/A,FALSE,"H1H2";"LFL assumptions",#N/A,FALSE,"H1H2"}</definedName>
    <definedName name="w" hidden="1">{#N/A,#N/A,FALSE,"H1H2";"Sales by division",#N/A,FALSE,"H1H2";"LFL assumptions",#N/A,FALSE,"H1H2"}</definedName>
    <definedName name="WACC">#REF!</definedName>
    <definedName name="wcass1">#REF!</definedName>
    <definedName name="wcass12">#REF!</definedName>
    <definedName name="wcass2">#REF!</definedName>
    <definedName name="wcass22">#REF!</definedName>
    <definedName name="wcass3">#REF!</definedName>
    <definedName name="wcass32">#REF!</definedName>
    <definedName name="wcass4">#REF!</definedName>
    <definedName name="wcass42">#REF!</definedName>
    <definedName name="wcliab1">#REF!</definedName>
    <definedName name="wcliab12">#REF!</definedName>
    <definedName name="wcliab2">#REF!</definedName>
    <definedName name="wcliab22">#REF!</definedName>
    <definedName name="wcliab3">#REF!</definedName>
    <definedName name="wcliab32">#REF!</definedName>
    <definedName name="wefwe" localSheetId="9">'Assumption 2 Documentation'!wefwe</definedName>
    <definedName name="wefwe" localSheetId="6">'Assumptions 1 Documentation'!wefwe</definedName>
    <definedName name="wefwe" localSheetId="7">GDP!wefwe</definedName>
    <definedName name="wefwe">[0]!wefwe</definedName>
    <definedName name="wegweg" localSheetId="9">'Assumption 2 Documentation'!wegweg</definedName>
    <definedName name="wegweg" localSheetId="6">'Assumptions 1 Documentation'!wegweg</definedName>
    <definedName name="wegweg" localSheetId="7">GDP!wegweg</definedName>
    <definedName name="wegweg">[0]!wegweg</definedName>
    <definedName name="wergqerrgqwergr" localSheetId="9" hidden="1">'Assumption 2 Documentation'!wergqerrgqwergr</definedName>
    <definedName name="wergqerrgqwergr" localSheetId="6" hidden="1">'Assumptions 1 Documentation'!wergqerrgqwergr</definedName>
    <definedName name="wergqerrgqwergr" localSheetId="7" hidden="1">GDP!wergqerrgqwergr</definedName>
    <definedName name="wergqerrgqwergr" hidden="1">[0]!wergqerrgqwergr</definedName>
    <definedName name="westgp">#REF!</definedName>
    <definedName name="westrev">#REF!</definedName>
    <definedName name="westsga">#REF!</definedName>
    <definedName name="wewe" localSheetId="9" hidden="1">{"cap_structure",#N/A,FALSE,"Graph-Mkt Cap";"price",#N/A,FALSE,"Graph-Price";"ebit",#N/A,FALSE,"Graph-EBITDA";"ebitda",#N/A,FALSE,"Graph-EBITDA"}</definedName>
    <definedName name="wewe" localSheetId="6" hidden="1">{"cap_structure",#N/A,FALSE,"Graph-Mkt Cap";"price",#N/A,FALSE,"Graph-Price";"ebit",#N/A,FALSE,"Graph-EBITDA";"ebitda",#N/A,FALSE,"Graph-EBITDA"}</definedName>
    <definedName name="wewe" localSheetId="7" hidden="1">{"cap_structure",#N/A,FALSE,"Graph-Mkt Cap";"price",#N/A,FALSE,"Graph-Price";"ebit",#N/A,FALSE,"Graph-EBITDA";"ebitda",#N/A,FALSE,"Graph-EBITDA"}</definedName>
    <definedName name="wewe" hidden="1">{"cap_structure",#N/A,FALSE,"Graph-Mkt Cap";"price",#N/A,FALSE,"Graph-Price";"ebit",#N/A,FALSE,"Graph-EBITDA";"ebitda",#N/A,FALSE,"Graph-EBITDA"}</definedName>
    <definedName name="wg" localSheetId="9">'Assumption 2 Documentation'!wg</definedName>
    <definedName name="wg" localSheetId="6">'Assumptions 1 Documentation'!wg</definedName>
    <definedName name="wg" localSheetId="7">GDP!wg</definedName>
    <definedName name="wg">[0]!wg</definedName>
    <definedName name="wgp">#REF!</definedName>
    <definedName name="working_cap">#REF!</definedName>
    <definedName name="wrev">#REF!</definedName>
    <definedName name="wrn.balance._.sheet." localSheetId="9" hidden="1">{"bs",#N/A,FALSE,"SCF"}</definedName>
    <definedName name="wrn.balance._.sheet." localSheetId="6" hidden="1">{"bs",#N/A,FALSE,"SCF"}</definedName>
    <definedName name="wrn.balance._.sheet." localSheetId="7" hidden="1">{"bs",#N/A,FALSE,"SCF"}</definedName>
    <definedName name="wrn.balance._.sheet." hidden="1">{"bs",#N/A,FALSE,"SCF"}</definedName>
    <definedName name="wrn.COMPCO." localSheetId="8" hidden="1">{"Page1",#N/A,FALSE,"CompCo";"Page2",#N/A,FALSE,"CompCo"}</definedName>
    <definedName name="wrn.COMPCO." localSheetId="9" hidden="1">{"Page1",#N/A,FALSE,"CompCo";"Page2",#N/A,FALSE,"CompCo"}</definedName>
    <definedName name="wrn.COMPCO." localSheetId="6" hidden="1">{"Page1",#N/A,FALSE,"CompCo";"Page2",#N/A,FALSE,"CompCo"}</definedName>
    <definedName name="wrn.COMPCO." localSheetId="1" hidden="1">{"Page1",#N/A,FALSE,"CompCo";"Page2",#N/A,FALSE,"CompCo"}</definedName>
    <definedName name="wrn.COMPCO." localSheetId="7" hidden="1">{"Page1",#N/A,FALSE,"CompCo";"Page2",#N/A,FALSE,"CompCo"}</definedName>
    <definedName name="wrn.COMPCO." localSheetId="2" hidden="1">{"Page1",#N/A,FALSE,"CompCo";"Page2",#N/A,FALSE,"CompCo"}</definedName>
    <definedName name="wrn.COMPCO." hidden="1">{"Page1",#N/A,FALSE,"CompCo";"Page2",#N/A,FALSE,"CompCo"}</definedName>
    <definedName name="wrn.Entire._.Model." localSheetId="9" hidden="1">{"Clothing PL",#N/A,FALSE,"H1H2";"Food PL",#N/A,FALSE,"H1H2";"Group PL",#N/A,FALSE,"H1H2";"Home Furnishings PL",#N/A,FALSE,"H1H2";"LFL assumptions",#N/A,FALSE,"H1H2";"Sales by division",#N/A,FALSE,"H1H2";"UK Retail PL",#N/A,FALSE,"H1H2"}</definedName>
    <definedName name="wrn.Entire._.Model." localSheetId="6" hidden="1">{"Clothing PL",#N/A,FALSE,"H1H2";"Food PL",#N/A,FALSE,"H1H2";"Group PL",#N/A,FALSE,"H1H2";"Home Furnishings PL",#N/A,FALSE,"H1H2";"LFL assumptions",#N/A,FALSE,"H1H2";"Sales by division",#N/A,FALSE,"H1H2";"UK Retail PL",#N/A,FALSE,"H1H2"}</definedName>
    <definedName name="wrn.Entire._.Model." localSheetId="7" hidden="1">{"Clothing PL",#N/A,FALSE,"H1H2";"Food PL",#N/A,FALSE,"H1H2";"Group PL",#N/A,FALSE,"H1H2";"Home Furnishings PL",#N/A,FALSE,"H1H2";"LFL assumptions",#N/A,FALSE,"H1H2";"Sales by division",#N/A,FALSE,"H1H2";"UK Retail PL",#N/A,FALSE,"H1H2"}</definedName>
    <definedName name="wrn.Entire._.Model." hidden="1">{"Clothing PL",#N/A,FALSE,"H1H2";"Food PL",#N/A,FALSE,"H1H2";"Group PL",#N/A,FALSE,"H1H2";"Home Furnishings PL",#N/A,FALSE,"H1H2";"LFL assumptions",#N/A,FALSE,"H1H2";"Sales by division",#N/A,FALSE,"H1H2";"UK Retail PL",#N/A,FALSE,"H1H2"}</definedName>
    <definedName name="wrn.print._.graphs." localSheetId="8" hidden="1">{"cap_structure",#N/A,FALSE,"Graph-Mkt Cap";"price",#N/A,FALSE,"Graph-Price";"ebit",#N/A,FALSE,"Graph-EBITDA";"ebitda",#N/A,FALSE,"Graph-EBITDA"}</definedName>
    <definedName name="wrn.print._.graphs." localSheetId="9" hidden="1">{"cap_structure",#N/A,FALSE,"Graph-Mkt Cap";"price",#N/A,FALSE,"Graph-Price";"ebit",#N/A,FALSE,"Graph-EBITDA";"ebitda",#N/A,FALSE,"Graph-EBITDA"}</definedName>
    <definedName name="wrn.print._.graphs." localSheetId="6" hidden="1">{"cap_structure",#N/A,FALSE,"Graph-Mkt Cap";"price",#N/A,FALSE,"Graph-Price";"ebit",#N/A,FALSE,"Graph-EBITDA";"ebitda",#N/A,FALSE,"Graph-EBITDA"}</definedName>
    <definedName name="wrn.print._.graphs." localSheetId="1" hidden="1">{"cap_structure",#N/A,FALSE,"Graph-Mkt Cap";"price",#N/A,FALSE,"Graph-Price";"ebit",#N/A,FALSE,"Graph-EBITDA";"ebitda",#N/A,FALSE,"Graph-EBITDA"}</definedName>
    <definedName name="wrn.print._.graphs." localSheetId="7" hidden="1">{"cap_structure",#N/A,FALSE,"Graph-Mkt Cap";"price",#N/A,FALSE,"Graph-Price";"ebit",#N/A,FALSE,"Graph-EBITDA";"ebitda",#N/A,FALSE,"Graph-EBITDA"}</definedName>
    <definedName name="wrn.print._.graphs." localSheetId="2" hidden="1">{"cap_structure",#N/A,FALSE,"Graph-Mkt Cap";"price",#N/A,FALSE,"Graph-Price";"ebit",#N/A,FALSE,"Graph-EBITDA";"ebitda",#N/A,FALSE,"Graph-EBITDA"}</definedName>
    <definedName name="wrn.print._.graphs." hidden="1">{"cap_structure",#N/A,FALSE,"Graph-Mkt Cap";"price",#N/A,FALSE,"Graph-Price";"ebit",#N/A,FALSE,"Graph-EBITDA";"ebitda",#N/A,FALSE,"Graph-EBITDA"}</definedName>
    <definedName name="wrn.print._.raw._.data._.entry." localSheetId="8" hidden="1">{"inputs raw data",#N/A,TRUE,"INPUT"}</definedName>
    <definedName name="wrn.print._.raw._.data._.entry." localSheetId="9" hidden="1">{"inputs raw data",#N/A,TRUE,"INPUT"}</definedName>
    <definedName name="wrn.print._.raw._.data._.entry." localSheetId="6" hidden="1">{"inputs raw data",#N/A,TRUE,"INPUT"}</definedName>
    <definedName name="wrn.print._.raw._.data._.entry." localSheetId="1" hidden="1">{"inputs raw data",#N/A,TRUE,"INPUT"}</definedName>
    <definedName name="wrn.print._.raw._.data._.entry." localSheetId="7" hidden="1">{"inputs raw data",#N/A,TRUE,"INPUT"}</definedName>
    <definedName name="wrn.print._.raw._.data._.entry." localSheetId="2" hidden="1">{"inputs raw data",#N/A,TRUE,"INPUT"}</definedName>
    <definedName name="wrn.print._.raw._.data._.entry." hidden="1">{"inputs raw data",#N/A,TRUE,"INPUT"}</definedName>
    <definedName name="wrn.print._.summary._.sheets." localSheetId="8" hidden="1">{"summary1",#N/A,TRUE,"Comps";"summary2",#N/A,TRUE,"Comps";"summary3",#N/A,TRUE,"Comps"}</definedName>
    <definedName name="wrn.print._.summary._.sheets." localSheetId="9" hidden="1">{"summary1",#N/A,TRUE,"Comps";"summary2",#N/A,TRUE,"Comps";"summary3",#N/A,TRUE,"Comps"}</definedName>
    <definedName name="wrn.print._.summary._.sheets." localSheetId="6" hidden="1">{"summary1",#N/A,TRUE,"Comps";"summary2",#N/A,TRUE,"Comps";"summary3",#N/A,TRUE,"Comps"}</definedName>
    <definedName name="wrn.print._.summary._.sheets." localSheetId="1" hidden="1">{"summary1",#N/A,TRUE,"Comps";"summary2",#N/A,TRUE,"Comps";"summary3",#N/A,TRUE,"Comps"}</definedName>
    <definedName name="wrn.print._.summary._.sheets." localSheetId="7" hidden="1">{"summary1",#N/A,TRUE,"Comps";"summary2",#N/A,TRUE,"Comps";"summary3",#N/A,TRUE,"Comps"}</definedName>
    <definedName name="wrn.print._.summary._.sheets." localSheetId="2" hidden="1">{"summary1",#N/A,TRUE,"Comps";"summary2",#N/A,TRUE,"Comps";"summary3",#N/A,TRUE,"Comps"}</definedName>
    <definedName name="wrn.print._.summary._.sheets." hidden="1">{"summary1",#N/A,TRUE,"Comps";"summary2",#N/A,TRUE,"Comps";"summary3",#N/A,TRUE,"Comps"}</definedName>
    <definedName name="wrn.Sales._.and._.LFL._.assumptions." localSheetId="9" hidden="1">{#N/A,#N/A,FALSE,"H1H2";"Sales by division",#N/A,FALSE,"H1H2";"LFL assumptions",#N/A,FALSE,"H1H2"}</definedName>
    <definedName name="wrn.Sales._.and._.LFL._.assumptions." localSheetId="6" hidden="1">{#N/A,#N/A,FALSE,"H1H2";"Sales by division",#N/A,FALSE,"H1H2";"LFL assumptions",#N/A,FALSE,"H1H2"}</definedName>
    <definedName name="wrn.Sales._.and._.LFL._.assumptions." localSheetId="7" hidden="1">{#N/A,#N/A,FALSE,"H1H2";"Sales by division",#N/A,FALSE,"H1H2";"LFL assumptions",#N/A,FALSE,"H1H2"}</definedName>
    <definedName name="wrn.Sales._.and._.LFL._.assumptions." hidden="1">{#N/A,#N/A,FALSE,"H1H2";"Sales by division",#N/A,FALSE,"H1H2";"LFL assumptions",#N/A,FALSE,"H1H2"}</definedName>
    <definedName name="wrn.UK._.Retail._.PLs." localSheetId="9" hidden="1">{"Clothing PL",#N/A,FALSE,"H1H2";"Food PL",#N/A,FALSE,"H1H2";"Group PL",#N/A,FALSE,"H1H2";"Home Furnishings PL",#N/A,FALSE,"H1H2"}</definedName>
    <definedName name="wrn.UK._.Retail._.PLs." localSheetId="6" hidden="1">{"Clothing PL",#N/A,FALSE,"H1H2";"Food PL",#N/A,FALSE,"H1H2";"Group PL",#N/A,FALSE,"H1H2";"Home Furnishings PL",#N/A,FALSE,"H1H2"}</definedName>
    <definedName name="wrn.UK._.Retail._.PLs." localSheetId="7" hidden="1">{"Clothing PL",#N/A,FALSE,"H1H2";"Food PL",#N/A,FALSE,"H1H2";"Group PL",#N/A,FALSE,"H1H2";"Home Furnishings PL",#N/A,FALSE,"H1H2"}</definedName>
    <definedName name="wrn.UK._.Retail._.PLs." hidden="1">{"Clothing PL",#N/A,FALSE,"H1H2";"Food PL",#N/A,FALSE,"H1H2";"Group PL",#N/A,FALSE,"H1H2";"Home Furnishings PL",#N/A,FALSE,"H1H2"}</definedName>
    <definedName name="wsga">#REF!</definedName>
    <definedName name="wvu.inputs._.raw._.data." localSheetId="8"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9"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6"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1"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7"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localSheetId="2" hidden="1">{TRUE,TRUE,-1.25,-15.5,604.5,369,FALSE,FALSE,TRUE,TRUE,0,1,83,1,38,4,5,4,TRUE,TRUE,3,TRUE,1,TRUE,75,"Swvu.inputs._.raw._.data.","ACwvu.inputs._.raw._.data.",#N/A,FALSE,FALSE,0.5,0.5,0.5,0.5,2,"&amp;F","&amp;A&amp;RPage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summary1." localSheetId="8"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9"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6"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7"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localSheetId="2"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localSheetId="8"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9"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6"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1"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7"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localSheetId="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localSheetId="8"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9"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6"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7"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localSheetId="2"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 localSheetId="9" hidden="1">{"Clothing PL",#N/A,FALSE,"H1H2";"Food PL",#N/A,FALSE,"H1H2";"Group PL",#N/A,FALSE,"H1H2";"Home Furnishings PL",#N/A,FALSE,"H1H2";"LFL assumptions",#N/A,FALSE,"H1H2";"Sales by division",#N/A,FALSE,"H1H2";"UK Retail PL",#N/A,FALSE,"H1H2"}</definedName>
    <definedName name="x" localSheetId="6" hidden="1">{"Clothing PL",#N/A,FALSE,"H1H2";"Food PL",#N/A,FALSE,"H1H2";"Group PL",#N/A,FALSE,"H1H2";"Home Furnishings PL",#N/A,FALSE,"H1H2";"LFL assumptions",#N/A,FALSE,"H1H2";"Sales by division",#N/A,FALSE,"H1H2";"UK Retail PL",#N/A,FALSE,"H1H2"}</definedName>
    <definedName name="x" localSheetId="7" hidden="1">{"Clothing PL",#N/A,FALSE,"H1H2";"Food PL",#N/A,FALSE,"H1H2";"Group PL",#N/A,FALSE,"H1H2";"Home Furnishings PL",#N/A,FALSE,"H1H2";"LFL assumptions",#N/A,FALSE,"H1H2";"Sales by division",#N/A,FALSE,"H1H2";"UK Retail PL",#N/A,FALSE,"H1H2"}</definedName>
    <definedName name="x" hidden="1">{"Clothing PL",#N/A,FALSE,"H1H2";"Food PL",#N/A,FALSE,"H1H2";"Group PL",#N/A,FALSE,"H1H2";"Home Furnishings PL",#N/A,FALSE,"H1H2";"LFL assumptions",#N/A,FALSE,"H1H2";"Sales by division",#N/A,FALSE,"H1H2";"UK Retail PL",#N/A,FALSE,"H1H2"}</definedName>
    <definedName name="xfhs" localSheetId="9" hidden="1">'Assumption 2 Documentation'!xfhs</definedName>
    <definedName name="xfhs" localSheetId="6" hidden="1">'Assumptions 1 Documentation'!xfhs</definedName>
    <definedName name="xfhs" localSheetId="7" hidden="1">GDP!xfhs</definedName>
    <definedName name="xfhs" hidden="1">[0]!xfhs</definedName>
    <definedName name="year">#REF!</definedName>
    <definedName name="Year1CashInterest">SUMPRODUCT(#REF!,#REF!)</definedName>
    <definedName name="yearconvention">#REF!</definedName>
    <definedName name="yikiukui" localSheetId="9" hidden="1">{"summary1",#N/A,TRUE,"Comps";"summary2",#N/A,TRUE,"Comps";"summary3",#N/A,TRUE,"Comps"}</definedName>
    <definedName name="yikiukui" localSheetId="6" hidden="1">{"summary1",#N/A,TRUE,"Comps";"summary2",#N/A,TRUE,"Comps";"summary3",#N/A,TRUE,"Comps"}</definedName>
    <definedName name="yikiukui" localSheetId="7" hidden="1">{"summary1",#N/A,TRUE,"Comps";"summary2",#N/A,TRUE,"Comps";"summary3",#N/A,TRUE,"Comps"}</definedName>
    <definedName name="yikiukui" hidden="1">{"summary1",#N/A,TRUE,"Comps";"summary2",#N/A,TRUE,"Comps";"summary3",#N/A,TRUE,"Comps"}</definedName>
    <definedName name="YR1EPS">#REF!</definedName>
    <definedName name="YR2EPS">#REF!</definedName>
    <definedName name="ytjy" localSheetId="9" hidden="1">'Assumption 2 Documentation'!ytjy</definedName>
    <definedName name="ytjy" localSheetId="6" hidden="1">'Assumptions 1 Documentation'!ytjy</definedName>
    <definedName name="ytjy" localSheetId="7" hidden="1">GDP!ytjy</definedName>
    <definedName name="ytjy" hidden="1">[0]!ytjy</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60" l="1"/>
  <c r="B1" i="159"/>
  <c r="I60" i="139"/>
  <c r="F60" i="139"/>
  <c r="G60" i="139"/>
  <c r="B1" i="99"/>
  <c r="E60" i="139"/>
  <c r="B1" i="137"/>
  <c r="B1" i="139"/>
  <c r="F123" i="139"/>
  <c r="F119" i="139"/>
  <c r="F118" i="139"/>
  <c r="F126" i="139"/>
  <c r="D10" i="162"/>
  <c r="H9" i="99"/>
  <c r="H10" i="99"/>
  <c r="G29" i="99"/>
  <c r="K22" i="99"/>
  <c r="D11" i="162"/>
  <c r="D13" i="99"/>
  <c r="J26" i="99" s="1"/>
  <c r="C8" i="137"/>
  <c r="D35" i="162"/>
  <c r="J10" i="99" s="1"/>
  <c r="C22" i="137"/>
  <c r="J27" i="139"/>
  <c r="D45" i="162"/>
  <c r="D25" i="162"/>
  <c r="G10" i="99"/>
  <c r="G9" i="99"/>
  <c r="D4" i="162"/>
  <c r="I6" i="162"/>
  <c r="J6" i="162"/>
  <c r="K6" i="162"/>
  <c r="H6" i="162"/>
  <c r="G18" i="120"/>
  <c r="H18" i="120"/>
  <c r="I18" i="120"/>
  <c r="J18" i="120"/>
  <c r="K18" i="120"/>
  <c r="L18" i="120"/>
  <c r="M18" i="120"/>
  <c r="N18" i="120"/>
  <c r="O18" i="120"/>
  <c r="F18" i="120"/>
  <c r="F9" i="120"/>
  <c r="F8" i="137"/>
  <c r="F7" i="137"/>
  <c r="E8" i="137"/>
  <c r="E7" i="137"/>
  <c r="D8" i="137"/>
  <c r="D7" i="137"/>
  <c r="C7" i="137"/>
  <c r="C30" i="137"/>
  <c r="K9" i="161"/>
  <c r="J9" i="161"/>
  <c r="J8" i="161"/>
  <c r="I9" i="161"/>
  <c r="I8" i="161"/>
  <c r="I7" i="161"/>
  <c r="I6" i="161"/>
  <c r="I5" i="161"/>
  <c r="J64" i="139"/>
  <c r="G13" i="120"/>
  <c r="H13" i="120" s="1"/>
  <c r="G8" i="119"/>
  <c r="H18" i="119"/>
  <c r="O43" i="161"/>
  <c r="N43" i="161"/>
  <c r="O42" i="161"/>
  <c r="N42" i="161"/>
  <c r="M42" i="161"/>
  <c r="O41" i="161"/>
  <c r="N41" i="161"/>
  <c r="O28" i="161"/>
  <c r="N28" i="161"/>
  <c r="M28" i="161"/>
  <c r="O27" i="161"/>
  <c r="N27" i="161"/>
  <c r="M27" i="161"/>
  <c r="G34" i="120"/>
  <c r="H34" i="120" s="1"/>
  <c r="I34" i="120" s="1"/>
  <c r="J34" i="120" s="1"/>
  <c r="K34" i="120" s="1"/>
  <c r="L34" i="120" s="1"/>
  <c r="M34" i="120" s="1"/>
  <c r="N34" i="120" s="1"/>
  <c r="O34" i="120" s="1"/>
  <c r="M43" i="161" s="1"/>
  <c r="G29" i="120"/>
  <c r="H29" i="120" s="1"/>
  <c r="I29" i="120" s="1"/>
  <c r="J29" i="120" s="1"/>
  <c r="K29" i="120" s="1"/>
  <c r="L29" i="120" s="1"/>
  <c r="M29" i="120" s="1"/>
  <c r="N29" i="120" s="1"/>
  <c r="O29" i="120" s="1"/>
  <c r="G24" i="120"/>
  <c r="H24" i="120" s="1"/>
  <c r="I24" i="120" s="1"/>
  <c r="J24" i="120" s="1"/>
  <c r="K24" i="120" s="1"/>
  <c r="L24" i="120" s="1"/>
  <c r="M24" i="120" s="1"/>
  <c r="N24" i="120" s="1"/>
  <c r="O24" i="120" s="1"/>
  <c r="G15" i="120"/>
  <c r="H15" i="120" s="1"/>
  <c r="I15" i="120" s="1"/>
  <c r="J15" i="120" s="1"/>
  <c r="K15" i="120" s="1"/>
  <c r="L15" i="120" s="1"/>
  <c r="M15" i="120" s="1"/>
  <c r="N15" i="120" s="1"/>
  <c r="O15" i="120" s="1"/>
  <c r="G14" i="120"/>
  <c r="H14" i="120" s="1"/>
  <c r="I14" i="120" s="1"/>
  <c r="J14" i="120" s="1"/>
  <c r="K14" i="120" s="1"/>
  <c r="L14" i="120" s="1"/>
  <c r="M14" i="120" s="1"/>
  <c r="N14" i="120" s="1"/>
  <c r="O14" i="120" s="1"/>
  <c r="F5" i="161"/>
  <c r="C24" i="160"/>
  <c r="C23" i="160"/>
  <c r="C22" i="160"/>
  <c r="C21" i="160"/>
  <c r="C20" i="160"/>
  <c r="C19" i="160"/>
  <c r="C18" i="160"/>
  <c r="C17" i="160"/>
  <c r="C16" i="160"/>
  <c r="C15" i="160"/>
  <c r="C14" i="160"/>
  <c r="G25" i="119"/>
  <c r="H25" i="119"/>
  <c r="I25" i="119"/>
  <c r="J25" i="119"/>
  <c r="K25" i="119"/>
  <c r="L25" i="119"/>
  <c r="M25" i="119"/>
  <c r="N25" i="119"/>
  <c r="O25" i="119"/>
  <c r="F25" i="119"/>
  <c r="G18" i="119"/>
  <c r="I18" i="119"/>
  <c r="J18" i="119"/>
  <c r="K18" i="119"/>
  <c r="L18" i="119"/>
  <c r="M18" i="119"/>
  <c r="N18" i="119"/>
  <c r="O18" i="119"/>
  <c r="G19" i="119"/>
  <c r="H19" i="119"/>
  <c r="I19" i="119"/>
  <c r="J19" i="119"/>
  <c r="K19" i="119"/>
  <c r="L19" i="119"/>
  <c r="M19" i="119"/>
  <c r="N19" i="119"/>
  <c r="O19" i="119"/>
  <c r="G20" i="119"/>
  <c r="H20" i="119"/>
  <c r="I20" i="119"/>
  <c r="J20" i="119"/>
  <c r="K20" i="119"/>
  <c r="L20" i="119"/>
  <c r="M20" i="119"/>
  <c r="N20" i="119"/>
  <c r="O20" i="119"/>
  <c r="F20" i="119"/>
  <c r="F19" i="119"/>
  <c r="F18" i="119"/>
  <c r="N13" i="119"/>
  <c r="O13" i="119"/>
  <c r="G15" i="119"/>
  <c r="H15" i="119"/>
  <c r="I15" i="119"/>
  <c r="J15" i="119"/>
  <c r="K15" i="119"/>
  <c r="L15" i="119"/>
  <c r="M15" i="119"/>
  <c r="N15" i="119"/>
  <c r="O15" i="119"/>
  <c r="F15" i="119"/>
  <c r="F13" i="119"/>
  <c r="I8" i="119"/>
  <c r="J8" i="119" s="1"/>
  <c r="K8" i="119" s="1"/>
  <c r="L8" i="119" s="1"/>
  <c r="M8" i="119" s="1"/>
  <c r="N8" i="119" s="1"/>
  <c r="O8" i="119" s="1"/>
  <c r="H8" i="119"/>
  <c r="F8" i="119"/>
  <c r="CA73" i="159"/>
  <c r="CA72" i="159"/>
  <c r="CA71" i="159"/>
  <c r="CA70" i="159"/>
  <c r="CB69" i="159"/>
  <c r="CA69" i="159"/>
  <c r="CF68" i="159"/>
  <c r="CH68" i="159" s="1"/>
  <c r="CA59" i="159"/>
  <c r="CA58" i="159"/>
  <c r="CA57" i="159"/>
  <c r="CA56" i="159"/>
  <c r="CB55" i="159"/>
  <c r="CA55" i="159"/>
  <c r="CF54" i="159"/>
  <c r="CH54" i="159" s="1"/>
  <c r="CA45" i="159"/>
  <c r="CA44" i="159"/>
  <c r="CA43" i="159"/>
  <c r="CA42" i="159"/>
  <c r="CG41" i="159"/>
  <c r="CG42" i="159" s="1"/>
  <c r="CG43" i="159" s="1"/>
  <c r="CG44" i="159" s="1"/>
  <c r="CG45" i="159" s="1"/>
  <c r="CB41" i="159"/>
  <c r="CA41" i="159"/>
  <c r="C41" i="159"/>
  <c r="I10" i="119" s="1"/>
  <c r="J10" i="119" s="1"/>
  <c r="K10" i="119" s="1"/>
  <c r="L10" i="119" s="1"/>
  <c r="M10" i="119" s="1"/>
  <c r="N10" i="119" s="1"/>
  <c r="O10" i="119" s="1"/>
  <c r="CF40" i="159"/>
  <c r="CH40" i="159" s="1"/>
  <c r="C40" i="159"/>
  <c r="H10" i="119" s="1"/>
  <c r="C39" i="159"/>
  <c r="G10" i="119" s="1"/>
  <c r="C38" i="159"/>
  <c r="CB31" i="159"/>
  <c r="CB30" i="159"/>
  <c r="I9" i="119"/>
  <c r="J9" i="119" s="1"/>
  <c r="K9" i="119" s="1"/>
  <c r="L9" i="119" s="1"/>
  <c r="M9" i="119" s="1"/>
  <c r="N9" i="119" s="1"/>
  <c r="O9" i="119" s="1"/>
  <c r="H9" i="119"/>
  <c r="G9" i="119"/>
  <c r="CB26" i="159"/>
  <c r="CB25" i="159"/>
  <c r="CB24" i="159"/>
  <c r="BE18" i="159"/>
  <c r="BE11" i="159"/>
  <c r="G6" i="139"/>
  <c r="F6" i="139" s="1"/>
  <c r="E6" i="139" s="1"/>
  <c r="F30" i="137"/>
  <c r="F34" i="137"/>
  <c r="F35" i="137"/>
  <c r="F36" i="137"/>
  <c r="F29" i="137"/>
  <c r="F31" i="137"/>
  <c r="I8" i="139"/>
  <c r="I14" i="119" l="1"/>
  <c r="N14" i="119"/>
  <c r="G14" i="119"/>
  <c r="F14" i="119"/>
  <c r="H14" i="119"/>
  <c r="J14" i="119"/>
  <c r="O14" i="119"/>
  <c r="K14" i="119"/>
  <c r="M14" i="119"/>
  <c r="L14" i="119"/>
  <c r="K13" i="119"/>
  <c r="G13" i="119"/>
  <c r="G12" i="119" s="1"/>
  <c r="K60" i="139" s="1"/>
  <c r="H13" i="119"/>
  <c r="J13" i="119"/>
  <c r="J12" i="119" s="1"/>
  <c r="N60" i="139" s="1"/>
  <c r="I13" i="119"/>
  <c r="M13" i="119"/>
  <c r="L13" i="119"/>
  <c r="L12" i="119" s="1"/>
  <c r="L10" i="99"/>
  <c r="G24" i="119"/>
  <c r="I24" i="119"/>
  <c r="K24" i="119"/>
  <c r="M24" i="119"/>
  <c r="O24" i="119"/>
  <c r="H24" i="119"/>
  <c r="J24" i="119"/>
  <c r="L24" i="119"/>
  <c r="N24" i="119"/>
  <c r="F24" i="119"/>
  <c r="G23" i="119"/>
  <c r="G22" i="119" s="1"/>
  <c r="K62" i="139" s="1"/>
  <c r="I23" i="119"/>
  <c r="I22" i="119" s="1"/>
  <c r="M62" i="139" s="1"/>
  <c r="J23" i="119"/>
  <c r="J22" i="119" s="1"/>
  <c r="N62" i="139" s="1"/>
  <c r="K23" i="119"/>
  <c r="K22" i="119" s="1"/>
  <c r="L23" i="119"/>
  <c r="M23" i="119"/>
  <c r="O23" i="119"/>
  <c r="H23" i="119"/>
  <c r="H22" i="119" s="1"/>
  <c r="L62" i="139" s="1"/>
  <c r="N23" i="119"/>
  <c r="F23" i="119"/>
  <c r="F22" i="119" s="1"/>
  <c r="J62" i="139" s="1"/>
  <c r="CG69" i="159"/>
  <c r="CG70" i="159" s="1"/>
  <c r="CG71" i="159" s="1"/>
  <c r="CG72" i="159" s="1"/>
  <c r="CG73" i="159" s="1"/>
  <c r="F10" i="119"/>
  <c r="J9" i="99"/>
  <c r="L9" i="99" s="1"/>
  <c r="D7" i="162"/>
  <c r="D8" i="99" s="1"/>
  <c r="D9" i="99" s="1"/>
  <c r="J22" i="99" s="1"/>
  <c r="D6" i="162"/>
  <c r="CG55" i="159"/>
  <c r="CG56" i="159" s="1"/>
  <c r="CG57" i="159" s="1"/>
  <c r="CG58" i="159" s="1"/>
  <c r="CG59" i="159" s="1"/>
  <c r="F9" i="119"/>
  <c r="G8" i="120"/>
  <c r="H8" i="120"/>
  <c r="I8" i="120"/>
  <c r="J8" i="120"/>
  <c r="K8" i="120"/>
  <c r="L8" i="120"/>
  <c r="M8" i="120"/>
  <c r="N8" i="120"/>
  <c r="O8" i="120"/>
  <c r="F8" i="120"/>
  <c r="I13" i="120"/>
  <c r="J13" i="120" s="1"/>
  <c r="K13" i="120" s="1"/>
  <c r="L13" i="120" s="1"/>
  <c r="M13" i="120" s="1"/>
  <c r="N13" i="120" s="1"/>
  <c r="O13" i="120" s="1"/>
  <c r="CC69" i="159"/>
  <c r="CF69" i="159" s="1"/>
  <c r="CB70" i="159"/>
  <c r="CC55" i="159"/>
  <c r="CF55" i="159" s="1"/>
  <c r="CB56" i="159"/>
  <c r="CC41" i="159"/>
  <c r="CF41" i="159" s="1"/>
  <c r="CH41" i="159" s="1"/>
  <c r="F29" i="119" s="1"/>
  <c r="F28" i="119" s="1"/>
  <c r="J63" i="139" s="1"/>
  <c r="CB42" i="159"/>
  <c r="C14" i="137"/>
  <c r="C36" i="137"/>
  <c r="I61" i="139"/>
  <c r="I59" i="139"/>
  <c r="K64" i="139"/>
  <c r="L64" i="139" s="1"/>
  <c r="M64" i="139" s="1"/>
  <c r="N64" i="139" s="1"/>
  <c r="J6" i="139"/>
  <c r="K6" i="139" s="1"/>
  <c r="G4" i="120" s="1"/>
  <c r="F7" i="119"/>
  <c r="F12" i="119"/>
  <c r="J60" i="139" s="1"/>
  <c r="J9" i="139" s="1"/>
  <c r="F17" i="119"/>
  <c r="J61" i="139" s="1"/>
  <c r="E31" i="137"/>
  <c r="E30" i="137"/>
  <c r="F28" i="120"/>
  <c r="G35" i="137" s="1"/>
  <c r="F33" i="120"/>
  <c r="G36" i="137" s="1"/>
  <c r="G7" i="119"/>
  <c r="K59" i="139" s="1"/>
  <c r="G17" i="119"/>
  <c r="K61" i="139" s="1"/>
  <c r="G28" i="120"/>
  <c r="H35" i="137" s="1"/>
  <c r="G33" i="120"/>
  <c r="H36" i="137" s="1"/>
  <c r="H7" i="119"/>
  <c r="L59" i="139" s="1"/>
  <c r="H12" i="119"/>
  <c r="L60" i="139" s="1"/>
  <c r="H17" i="119"/>
  <c r="L61" i="139" s="1"/>
  <c r="H28" i="120"/>
  <c r="I35" i="137" s="1"/>
  <c r="H33" i="120"/>
  <c r="I36" i="137" s="1"/>
  <c r="I7" i="119"/>
  <c r="M59" i="139" s="1"/>
  <c r="I12" i="119"/>
  <c r="M60" i="139" s="1"/>
  <c r="I17" i="119"/>
  <c r="M61" i="139" s="1"/>
  <c r="I28" i="120"/>
  <c r="J35" i="137" s="1"/>
  <c r="I33" i="120"/>
  <c r="J36" i="137" s="1"/>
  <c r="G63" i="139"/>
  <c r="I63" i="139" s="1"/>
  <c r="F63" i="139"/>
  <c r="E63" i="139"/>
  <c r="G62" i="139"/>
  <c r="F62" i="139"/>
  <c r="E62" i="139"/>
  <c r="G61" i="139"/>
  <c r="F61" i="139"/>
  <c r="E61" i="139"/>
  <c r="D30" i="137"/>
  <c r="E10" i="139"/>
  <c r="G59" i="139"/>
  <c r="F59" i="139"/>
  <c r="J7" i="119"/>
  <c r="N59" i="139" s="1"/>
  <c r="J17" i="119"/>
  <c r="N61" i="139" s="1"/>
  <c r="I62" i="139"/>
  <c r="J28" i="120"/>
  <c r="K35" i="137" s="1"/>
  <c r="J33" i="120"/>
  <c r="K36" i="137" s="1"/>
  <c r="G8" i="139"/>
  <c r="F8" i="139"/>
  <c r="E14" i="137"/>
  <c r="E20" i="137"/>
  <c r="D14" i="137"/>
  <c r="D20" i="137"/>
  <c r="D36" i="137"/>
  <c r="C20" i="137"/>
  <c r="C34" i="137"/>
  <c r="C31" i="137"/>
  <c r="C29" i="137"/>
  <c r="F112" i="139"/>
  <c r="F111" i="139"/>
  <c r="F110" i="139"/>
  <c r="E118" i="139"/>
  <c r="E119" i="139"/>
  <c r="E120" i="139"/>
  <c r="F120" i="139" s="1"/>
  <c r="E121" i="139"/>
  <c r="F121" i="139" s="1"/>
  <c r="E122" i="139"/>
  <c r="C123" i="139"/>
  <c r="G21" i="139"/>
  <c r="F21" i="139"/>
  <c r="E21" i="139"/>
  <c r="L35" i="139"/>
  <c r="N77" i="139"/>
  <c r="O77" i="139" s="1"/>
  <c r="L77" i="139"/>
  <c r="K77" i="139" s="1"/>
  <c r="N87" i="139"/>
  <c r="O87" i="139" s="1"/>
  <c r="K87" i="139"/>
  <c r="J97" i="139"/>
  <c r="K97" i="139" s="1"/>
  <c r="H97" i="139"/>
  <c r="G97" i="139" s="1"/>
  <c r="G87" i="139"/>
  <c r="H87" i="139" s="1"/>
  <c r="E87" i="139"/>
  <c r="D87" i="139" s="1"/>
  <c r="G77" i="139"/>
  <c r="H77" i="139" s="1"/>
  <c r="E77" i="139"/>
  <c r="D77" i="139" s="1"/>
  <c r="F6" i="137"/>
  <c r="N48" i="139"/>
  <c r="O48" i="139" s="1"/>
  <c r="L48" i="139"/>
  <c r="K48" i="139" s="1"/>
  <c r="B70" i="139"/>
  <c r="G16" i="99"/>
  <c r="G15" i="99"/>
  <c r="K28" i="120"/>
  <c r="O3" i="139"/>
  <c r="K17" i="119"/>
  <c r="K7" i="119"/>
  <c r="M3" i="139"/>
  <c r="L40" i="139"/>
  <c r="K26" i="99"/>
  <c r="L26" i="99" s="1"/>
  <c r="I26" i="99"/>
  <c r="H26" i="99" s="1"/>
  <c r="G30" i="99"/>
  <c r="G31" i="99" s="1"/>
  <c r="G28" i="99"/>
  <c r="G27" i="99" s="1"/>
  <c r="D15" i="99" l="1"/>
  <c r="J34" i="139"/>
  <c r="F109" i="139" s="1"/>
  <c r="CH55" i="159"/>
  <c r="F30" i="119" s="1"/>
  <c r="CH69" i="159"/>
  <c r="F31" i="119" s="1"/>
  <c r="CC70" i="159"/>
  <c r="CF70" i="159" s="1"/>
  <c r="CH70" i="159" s="1"/>
  <c r="G31" i="119" s="1"/>
  <c r="CB71" i="159"/>
  <c r="CC56" i="159"/>
  <c r="CF56" i="159" s="1"/>
  <c r="CH56" i="159" s="1"/>
  <c r="G30" i="119" s="1"/>
  <c r="CB57" i="159"/>
  <c r="CC42" i="159"/>
  <c r="CF42" i="159" s="1"/>
  <c r="CH42" i="159" s="1"/>
  <c r="G29" i="119" s="1"/>
  <c r="G28" i="119" s="1"/>
  <c r="K63" i="139" s="1"/>
  <c r="CB43" i="159"/>
  <c r="E11" i="139"/>
  <c r="D22" i="137"/>
  <c r="D23" i="137" s="1"/>
  <c r="J59" i="139"/>
  <c r="J7" i="139" s="1"/>
  <c r="I10" i="139"/>
  <c r="I13" i="139" s="1"/>
  <c r="I21" i="139"/>
  <c r="G10" i="139"/>
  <c r="K12" i="119"/>
  <c r="F10" i="139"/>
  <c r="E22" i="137"/>
  <c r="E23" i="137" s="1"/>
  <c r="G6" i="137"/>
  <c r="G4" i="119"/>
  <c r="H6" i="137"/>
  <c r="F4" i="120"/>
  <c r="E29" i="137"/>
  <c r="F23" i="120"/>
  <c r="G34" i="137" s="1"/>
  <c r="K33" i="120"/>
  <c r="C35" i="137"/>
  <c r="F4" i="119"/>
  <c r="E123" i="139"/>
  <c r="L15" i="99"/>
  <c r="I22" i="99" s="1"/>
  <c r="L22" i="99" s="1"/>
  <c r="D21" i="99" s="1"/>
  <c r="L16" i="99"/>
  <c r="L28" i="120"/>
  <c r="L33" i="120"/>
  <c r="M22" i="119"/>
  <c r="J16" i="99"/>
  <c r="F122" i="139"/>
  <c r="D31" i="137"/>
  <c r="L22" i="119"/>
  <c r="E6" i="137"/>
  <c r="G23" i="120"/>
  <c r="H34" i="137" s="1"/>
  <c r="D34" i="137"/>
  <c r="K27" i="139"/>
  <c r="L6" i="139"/>
  <c r="D35" i="137"/>
  <c r="D29" i="137"/>
  <c r="E13" i="139"/>
  <c r="E34" i="137"/>
  <c r="J15" i="99"/>
  <c r="F7" i="120"/>
  <c r="G29" i="137" s="1"/>
  <c r="E35" i="137"/>
  <c r="E36" i="137"/>
  <c r="K7" i="139" l="1"/>
  <c r="J10" i="139"/>
  <c r="J11" i="139" s="1"/>
  <c r="J12" i="139"/>
  <c r="CC71" i="159"/>
  <c r="CF71" i="159" s="1"/>
  <c r="CH71" i="159" s="1"/>
  <c r="H31" i="119" s="1"/>
  <c r="CB72" i="159"/>
  <c r="CC57" i="159"/>
  <c r="CF57" i="159" s="1"/>
  <c r="CH57" i="159" s="1"/>
  <c r="H30" i="119" s="1"/>
  <c r="CB58" i="159"/>
  <c r="CB44" i="159"/>
  <c r="CC43" i="159"/>
  <c r="CF43" i="159" s="1"/>
  <c r="CH43" i="159" s="1"/>
  <c r="H29" i="119" s="1"/>
  <c r="H28" i="119" s="1"/>
  <c r="L63" i="139" s="1"/>
  <c r="G7" i="137"/>
  <c r="G18" i="137" s="1"/>
  <c r="I11" i="139"/>
  <c r="G11" i="139"/>
  <c r="G13" i="139"/>
  <c r="C23" i="137"/>
  <c r="D25" i="137"/>
  <c r="J15" i="139"/>
  <c r="J21" i="139" s="1"/>
  <c r="J8" i="139"/>
  <c r="J22" i="139"/>
  <c r="H10" i="139"/>
  <c r="E25" i="137"/>
  <c r="F13" i="139"/>
  <c r="F14" i="139" s="1"/>
  <c r="F11" i="139"/>
  <c r="I14" i="139"/>
  <c r="I16" i="139"/>
  <c r="L17" i="119"/>
  <c r="F20" i="137"/>
  <c r="F14" i="137"/>
  <c r="N22" i="119"/>
  <c r="O22" i="119"/>
  <c r="E16" i="139"/>
  <c r="E18" i="139" s="1"/>
  <c r="E14" i="139"/>
  <c r="L7" i="119"/>
  <c r="M12" i="119"/>
  <c r="H23" i="120"/>
  <c r="I34" i="137" s="1"/>
  <c r="M33" i="120"/>
  <c r="G7" i="120"/>
  <c r="H29" i="137" s="1"/>
  <c r="F12" i="120"/>
  <c r="G30" i="137" s="1"/>
  <c r="L27" i="139"/>
  <c r="M6" i="139"/>
  <c r="H4" i="119"/>
  <c r="I6" i="137"/>
  <c r="H4" i="120"/>
  <c r="M28" i="120"/>
  <c r="D6" i="137"/>
  <c r="D23" i="99" l="1"/>
  <c r="D26" i="99" s="1"/>
  <c r="CC72" i="159"/>
  <c r="CF72" i="159" s="1"/>
  <c r="CH72" i="159" s="1"/>
  <c r="I31" i="119" s="1"/>
  <c r="CB73" i="159"/>
  <c r="CC73" i="159" s="1"/>
  <c r="CF73" i="159" s="1"/>
  <c r="CH73" i="159" s="1"/>
  <c r="J31" i="119" s="1"/>
  <c r="K31" i="119" s="1"/>
  <c r="L31" i="119" s="1"/>
  <c r="M31" i="119" s="1"/>
  <c r="N31" i="119" s="1"/>
  <c r="O31" i="119" s="1"/>
  <c r="CC58" i="159"/>
  <c r="CF58" i="159" s="1"/>
  <c r="CH58" i="159" s="1"/>
  <c r="I30" i="119" s="1"/>
  <c r="CB59" i="159"/>
  <c r="CC59" i="159" s="1"/>
  <c r="CF59" i="159" s="1"/>
  <c r="CH59" i="159" s="1"/>
  <c r="J30" i="119" s="1"/>
  <c r="K30" i="119" s="1"/>
  <c r="L30" i="119" s="1"/>
  <c r="M30" i="119" s="1"/>
  <c r="N30" i="119" s="1"/>
  <c r="O30" i="119" s="1"/>
  <c r="CB45" i="159"/>
  <c r="CC45" i="159" s="1"/>
  <c r="CF45" i="159" s="1"/>
  <c r="CH45" i="159" s="1"/>
  <c r="J29" i="119" s="1"/>
  <c r="CC44" i="159"/>
  <c r="CF44" i="159" s="1"/>
  <c r="CH44" i="159" s="1"/>
  <c r="I29" i="119" s="1"/>
  <c r="I28" i="119" s="1"/>
  <c r="M63" i="139" s="1"/>
  <c r="G8" i="137"/>
  <c r="G12" i="137" s="1"/>
  <c r="G14" i="139"/>
  <c r="G16" i="139"/>
  <c r="G18" i="139" s="1"/>
  <c r="K9" i="139"/>
  <c r="K10" i="139" s="1"/>
  <c r="H7" i="137"/>
  <c r="L7" i="139"/>
  <c r="G19" i="137"/>
  <c r="K8" i="139"/>
  <c r="K15" i="139"/>
  <c r="K21" i="139" s="1"/>
  <c r="G11" i="137"/>
  <c r="K12" i="139"/>
  <c r="K22" i="139"/>
  <c r="E17" i="139"/>
  <c r="E19" i="139"/>
  <c r="F16" i="139"/>
  <c r="F22" i="137"/>
  <c r="F23" i="137" s="1"/>
  <c r="M17" i="119"/>
  <c r="I18" i="139"/>
  <c r="I19" i="139" s="1"/>
  <c r="I17" i="139"/>
  <c r="O12" i="119"/>
  <c r="N12" i="119"/>
  <c r="C6" i="137"/>
  <c r="H7" i="139"/>
  <c r="M27" i="139"/>
  <c r="N6" i="139"/>
  <c r="J6" i="137"/>
  <c r="I4" i="119"/>
  <c r="I4" i="120"/>
  <c r="H13" i="139"/>
  <c r="O33" i="120"/>
  <c r="N33" i="120"/>
  <c r="F25" i="137"/>
  <c r="G12" i="120"/>
  <c r="H30" i="137" s="1"/>
  <c r="H7" i="120"/>
  <c r="I29" i="137" s="1"/>
  <c r="O28" i="120"/>
  <c r="N28" i="120"/>
  <c r="M7" i="119"/>
  <c r="I23" i="120"/>
  <c r="J34" i="137" s="1"/>
  <c r="E26" i="139" l="1"/>
  <c r="G26" i="99"/>
  <c r="F17" i="139"/>
  <c r="F18" i="139"/>
  <c r="J28" i="119"/>
  <c r="N63" i="139" s="1"/>
  <c r="K29" i="119"/>
  <c r="G17" i="137"/>
  <c r="G20" i="137" s="1"/>
  <c r="J13" i="139"/>
  <c r="G17" i="139"/>
  <c r="G19" i="139"/>
  <c r="H19" i="139" s="1"/>
  <c r="H16" i="139"/>
  <c r="H8" i="137"/>
  <c r="H18" i="137"/>
  <c r="H19" i="137"/>
  <c r="H11" i="137"/>
  <c r="L9" i="139"/>
  <c r="L12" i="139"/>
  <c r="L8" i="139"/>
  <c r="L15" i="139"/>
  <c r="L21" i="139" s="1"/>
  <c r="M7" i="139"/>
  <c r="I7" i="137"/>
  <c r="L22" i="139"/>
  <c r="F19" i="139"/>
  <c r="N17" i="119"/>
  <c r="O17" i="119"/>
  <c r="N7" i="119"/>
  <c r="O7" i="119"/>
  <c r="N27" i="139"/>
  <c r="J4" i="119"/>
  <c r="K4" i="119" s="1"/>
  <c r="L4" i="119" s="1"/>
  <c r="M4" i="119" s="1"/>
  <c r="N4" i="119" s="1"/>
  <c r="O4" i="119" s="1"/>
  <c r="J4" i="120"/>
  <c r="K4" i="120" s="1"/>
  <c r="L4" i="120" s="1"/>
  <c r="M4" i="120" s="1"/>
  <c r="N4" i="120" s="1"/>
  <c r="O4" i="120" s="1"/>
  <c r="B36" i="139"/>
  <c r="K6" i="137"/>
  <c r="L33" i="139"/>
  <c r="J23" i="120"/>
  <c r="K34" i="137" s="1"/>
  <c r="I7" i="120"/>
  <c r="J29" i="137" s="1"/>
  <c r="H12" i="120"/>
  <c r="I30" i="137" s="1"/>
  <c r="M28" i="139" l="1"/>
  <c r="J28" i="139"/>
  <c r="J51" i="139"/>
  <c r="J80" i="139"/>
  <c r="C80" i="139"/>
  <c r="C90" i="139"/>
  <c r="F100" i="139"/>
  <c r="L28" i="139"/>
  <c r="J90" i="139"/>
  <c r="N28" i="139"/>
  <c r="K28" i="139"/>
  <c r="E39" i="139"/>
  <c r="O34" i="139"/>
  <c r="C51" i="139"/>
  <c r="K28" i="119"/>
  <c r="L29" i="119"/>
  <c r="J16" i="139"/>
  <c r="J14" i="139"/>
  <c r="K11" i="139"/>
  <c r="K13" i="139"/>
  <c r="H17" i="137"/>
  <c r="H20" i="137" s="1"/>
  <c r="H12" i="137"/>
  <c r="I8" i="137"/>
  <c r="L10" i="139"/>
  <c r="N7" i="139"/>
  <c r="M15" i="139"/>
  <c r="M21" i="139" s="1"/>
  <c r="M22" i="139"/>
  <c r="J7" i="137"/>
  <c r="J19" i="137" s="1"/>
  <c r="M9" i="139"/>
  <c r="M8" i="139"/>
  <c r="M12" i="139"/>
  <c r="I11" i="137"/>
  <c r="I18" i="137"/>
  <c r="I19" i="137"/>
  <c r="K23" i="120"/>
  <c r="J7" i="120"/>
  <c r="K29" i="137" s="1"/>
  <c r="I12" i="120"/>
  <c r="J30" i="137" s="1"/>
  <c r="J52" i="139" l="1"/>
  <c r="J53" i="139" s="1"/>
  <c r="J50" i="139"/>
  <c r="J49" i="139" s="1"/>
  <c r="J79" i="139"/>
  <c r="J78" i="139" s="1"/>
  <c r="J81" i="139"/>
  <c r="J82" i="139" s="1"/>
  <c r="C79" i="139"/>
  <c r="C78" i="139" s="1"/>
  <c r="C81" i="139"/>
  <c r="C82" i="139" s="1"/>
  <c r="C91" i="139"/>
  <c r="C92" i="139" s="1"/>
  <c r="C89" i="139"/>
  <c r="C88" i="139" s="1"/>
  <c r="F101" i="139"/>
  <c r="F102" i="139" s="1"/>
  <c r="F99" i="139"/>
  <c r="F98" i="139" s="1"/>
  <c r="J89" i="139"/>
  <c r="J88" i="139" s="1"/>
  <c r="J91" i="139"/>
  <c r="J92" i="139" s="1"/>
  <c r="C52" i="139"/>
  <c r="C53" i="139" s="1"/>
  <c r="C50" i="139"/>
  <c r="C49" i="139" s="1"/>
  <c r="L28" i="119"/>
  <c r="M29" i="119"/>
  <c r="J17" i="139"/>
  <c r="J18" i="139"/>
  <c r="J19" i="139" s="1"/>
  <c r="K16" i="139"/>
  <c r="K14" i="139"/>
  <c r="L11" i="139"/>
  <c r="L13" i="139"/>
  <c r="N22" i="139"/>
  <c r="N9" i="139"/>
  <c r="N12" i="139"/>
  <c r="N15" i="139"/>
  <c r="N21" i="139" s="1"/>
  <c r="K7" i="137"/>
  <c r="N8" i="139"/>
  <c r="O7" i="139"/>
  <c r="I12" i="137"/>
  <c r="I17" i="137"/>
  <c r="I20" i="137" s="1"/>
  <c r="J18" i="137"/>
  <c r="J11" i="137"/>
  <c r="J8" i="137"/>
  <c r="M10" i="139"/>
  <c r="J12" i="120"/>
  <c r="K30" i="137" s="1"/>
  <c r="L23" i="120"/>
  <c r="K7" i="120"/>
  <c r="M28" i="119" l="1"/>
  <c r="N29" i="119"/>
  <c r="K17" i="139"/>
  <c r="K18" i="139"/>
  <c r="K19" i="139" s="1"/>
  <c r="L14" i="139"/>
  <c r="L16" i="139"/>
  <c r="K8" i="137"/>
  <c r="N10" i="139"/>
  <c r="O10" i="139" s="1"/>
  <c r="K18" i="137"/>
  <c r="K19" i="137"/>
  <c r="K11" i="137"/>
  <c r="J12" i="137"/>
  <c r="J17" i="137"/>
  <c r="J20" i="137" s="1"/>
  <c r="M13" i="139"/>
  <c r="M11" i="139"/>
  <c r="K12" i="120"/>
  <c r="M23" i="120"/>
  <c r="L7" i="120"/>
  <c r="N28" i="119" l="1"/>
  <c r="O29" i="119"/>
  <c r="O28" i="119" s="1"/>
  <c r="N13" i="139"/>
  <c r="E36" i="139" s="1"/>
  <c r="E38" i="139" s="1"/>
  <c r="N11" i="139"/>
  <c r="K17" i="137"/>
  <c r="K20" i="137" s="1"/>
  <c r="K12" i="137"/>
  <c r="L18" i="139"/>
  <c r="L19" i="139" s="1"/>
  <c r="L17" i="139"/>
  <c r="M14" i="139"/>
  <c r="M16" i="139"/>
  <c r="N23" i="120"/>
  <c r="O23" i="120"/>
  <c r="M7" i="120"/>
  <c r="L12" i="120"/>
  <c r="E40" i="139" l="1"/>
  <c r="N14" i="139"/>
  <c r="O13" i="139"/>
  <c r="N16" i="139"/>
  <c r="O35" i="139"/>
  <c r="M18" i="139"/>
  <c r="M19" i="139" s="1"/>
  <c r="M17" i="139"/>
  <c r="O7" i="120"/>
  <c r="N7" i="120"/>
  <c r="M12" i="120"/>
  <c r="N17" i="139" l="1"/>
  <c r="N18" i="139"/>
  <c r="N19" i="139" s="1"/>
  <c r="O16" i="139"/>
  <c r="N12" i="120"/>
  <c r="O12" i="120"/>
  <c r="O19" i="139" l="1"/>
  <c r="F17" i="120" l="1"/>
  <c r="G31" i="137" s="1"/>
  <c r="G13" i="137" s="1"/>
  <c r="G14" i="137" s="1"/>
  <c r="G22" i="137" s="1"/>
  <c r="G23" i="137" s="1"/>
  <c r="G17" i="120"/>
  <c r="H31" i="137" s="1"/>
  <c r="H13" i="137" s="1"/>
  <c r="H14" i="137" s="1"/>
  <c r="H22" i="137" s="1"/>
  <c r="H17" i="120"/>
  <c r="I31" i="137" s="1"/>
  <c r="I13" i="137" s="1"/>
  <c r="I14" i="137" s="1"/>
  <c r="I22" i="137" s="1"/>
  <c r="I17" i="120"/>
  <c r="J31" i="137" s="1"/>
  <c r="J13" i="137" s="1"/>
  <c r="J14" i="137" s="1"/>
  <c r="J22" i="137" s="1"/>
  <c r="J17" i="120"/>
  <c r="K31" i="137" s="1"/>
  <c r="K13" i="137" s="1"/>
  <c r="K14" i="137" s="1"/>
  <c r="K22" i="137" s="1"/>
  <c r="K23" i="137" s="1"/>
  <c r="N65" i="139" s="1"/>
  <c r="K17" i="120"/>
  <c r="L17" i="120"/>
  <c r="H25" i="137" l="1"/>
  <c r="K23" i="139" s="1"/>
  <c r="K25" i="139" s="1"/>
  <c r="K29" i="139" s="1"/>
  <c r="G25" i="137"/>
  <c r="J23" i="139" s="1"/>
  <c r="J25" i="139" s="1"/>
  <c r="J29" i="139" s="1"/>
  <c r="J65" i="139"/>
  <c r="I25" i="137"/>
  <c r="L23" i="139" s="1"/>
  <c r="L25" i="139" s="1"/>
  <c r="L29" i="139" s="1"/>
  <c r="H23" i="137"/>
  <c r="K65" i="139" s="1"/>
  <c r="J25" i="137"/>
  <c r="M23" i="139" s="1"/>
  <c r="M25" i="139" s="1"/>
  <c r="M29" i="139" s="1"/>
  <c r="I23" i="137"/>
  <c r="L65" i="139" s="1"/>
  <c r="K25" i="137"/>
  <c r="N23" i="139" s="1"/>
  <c r="N25" i="139" s="1"/>
  <c r="O37" i="139" s="1"/>
  <c r="J23" i="137"/>
  <c r="M65" i="139" s="1"/>
  <c r="M17" i="120"/>
  <c r="O33" i="139" l="1"/>
  <c r="N29" i="139"/>
  <c r="N17" i="120"/>
  <c r="E33" i="139" l="1"/>
  <c r="E43" i="139" s="1"/>
  <c r="J33" i="139" s="1"/>
  <c r="J39" i="139" s="1"/>
  <c r="C87" i="139"/>
  <c r="J48" i="139"/>
  <c r="O17" i="120"/>
  <c r="M41" i="161"/>
  <c r="E41" i="139" l="1"/>
  <c r="F97" i="139" s="1"/>
  <c r="O40" i="139"/>
  <c r="O43" i="139" s="1"/>
  <c r="C48" i="139"/>
  <c r="C77" i="139"/>
  <c r="J43" i="139" l="1"/>
  <c r="F108" i="139"/>
  <c r="F113" i="139" l="1"/>
  <c r="J87" i="139"/>
  <c r="J77" i="139"/>
  <c r="E48" i="139" l="1"/>
  <c r="D48" i="139" s="1"/>
  <c r="G48" i="139"/>
  <c r="H48" i="139" s="1"/>
  <c r="F127" i="139"/>
  <c r="F128" i="139"/>
  <c r="F130" i="139"/>
  <c r="F132" i="139"/>
</calcChain>
</file>

<file path=xl/sharedStrings.xml><?xml version="1.0" encoding="utf-8"?>
<sst xmlns="http://schemas.openxmlformats.org/spreadsheetml/2006/main" count="651" uniqueCount="412">
  <si>
    <t>Valuation, LBOs, M&amp;A, and IPOs</t>
  </si>
  <si>
    <t>DCF Analysis</t>
  </si>
  <si>
    <t>Henrique Menezes, Aoi Morinaga, Cristiano Carta, Soumya Tiwari, Ivan Pava, Beyza Cengelkoy</t>
  </si>
  <si>
    <t>Discounted Cash Flow Analysis</t>
  </si>
  <si>
    <t>($ in thousands, fiscal year ending December 31)</t>
  </si>
  <si>
    <t xml:space="preserve">Operating Scenario </t>
  </si>
  <si>
    <t>Mid-Year Convention</t>
  </si>
  <si>
    <t>Y</t>
  </si>
  <si>
    <t>Historical Period</t>
  </si>
  <si>
    <t>CAGR</t>
  </si>
  <si>
    <t>Projection Period</t>
  </si>
  <si>
    <t>('21 - '23)</t>
  </si>
  <si>
    <t>('24 - '29)</t>
  </si>
  <si>
    <t>Sales</t>
  </si>
  <si>
    <t xml:space="preserve">   % growth</t>
  </si>
  <si>
    <t>NA</t>
  </si>
  <si>
    <t>Cost of Goods Sold</t>
  </si>
  <si>
    <t>Gross Profit</t>
  </si>
  <si>
    <t xml:space="preserve">   % margin</t>
  </si>
  <si>
    <t>Selling, General &amp; Administrative</t>
  </si>
  <si>
    <t>EBITDA</t>
  </si>
  <si>
    <t>Depreciation &amp; Amortization</t>
  </si>
  <si>
    <t>EBIT</t>
  </si>
  <si>
    <t>Taxes</t>
  </si>
  <si>
    <t>EBIAT</t>
  </si>
  <si>
    <t>Plus: Depreciation &amp; Amortization</t>
  </si>
  <si>
    <t>Less: Capital Expenditures</t>
  </si>
  <si>
    <t>Less: Inc./(Dec.) in Net Working Capital</t>
  </si>
  <si>
    <t>Unlevered Free Cash Flow</t>
  </si>
  <si>
    <t xml:space="preserve">   WACC</t>
  </si>
  <si>
    <t xml:space="preserve">   Discount Period</t>
  </si>
  <si>
    <t xml:space="preserve">   Discount Factor</t>
  </si>
  <si>
    <t xml:space="preserve">   Present Value of Free Cash Flow</t>
  </si>
  <si>
    <t>Enterprise Value</t>
  </si>
  <si>
    <t>Implied Equity Value and Share Price</t>
  </si>
  <si>
    <t>Implied Perpetuity Growth Rate</t>
  </si>
  <si>
    <t>Cumulative Present Value of FCF</t>
  </si>
  <si>
    <t>Less: Total Debt</t>
  </si>
  <si>
    <t>WACC</t>
  </si>
  <si>
    <t>Terminal Value</t>
  </si>
  <si>
    <t>Less: Preferred Stock</t>
  </si>
  <si>
    <t>Less: Noncontrolling Interest</t>
  </si>
  <si>
    <t>Exit Multiple</t>
  </si>
  <si>
    <t>Plus: Cash and Cash Equivalents</t>
  </si>
  <si>
    <t xml:space="preserve">   Terminal Value</t>
  </si>
  <si>
    <t xml:space="preserve"> </t>
  </si>
  <si>
    <t>Discount Factor</t>
  </si>
  <si>
    <t xml:space="preserve">   Implied Equity Value</t>
  </si>
  <si>
    <t>Implied EV/EBITDA</t>
  </si>
  <si>
    <t xml:space="preserve">   Present Value of Terminal Value</t>
  </si>
  <si>
    <t xml:space="preserve">   % of Enterprise Value</t>
  </si>
  <si>
    <t>Fully Diluted Shares Outstanding</t>
  </si>
  <si>
    <t>LTM EBITDA</t>
  </si>
  <si>
    <t xml:space="preserve">   Enterprise Value</t>
  </si>
  <si>
    <t xml:space="preserve">   Implied Share Price</t>
  </si>
  <si>
    <t>Assumptions</t>
  </si>
  <si>
    <t>Sales (% growth)</t>
  </si>
  <si>
    <t>COGS (% sales)</t>
  </si>
  <si>
    <t>SG&amp;A (% sales)</t>
  </si>
  <si>
    <t>Depreciation &amp; Amortization (% sales)</t>
  </si>
  <si>
    <t>Capital Expenditures (% sales)</t>
  </si>
  <si>
    <t>Tax Rate</t>
  </si>
  <si>
    <t>Working Capital (% sales)</t>
  </si>
  <si>
    <t>Sensitivity Analysis</t>
  </si>
  <si>
    <t>Implied Equity Value</t>
  </si>
  <si>
    <t>Implied Enterprise Value / LTM EBITDA</t>
  </si>
  <si>
    <t>PV of Terminal Value % of Enterprise Value</t>
  </si>
  <si>
    <t>Calculation of Implied Share Price</t>
  </si>
  <si>
    <t>Less: Preferred Securities</t>
  </si>
  <si>
    <t>Options/Warrants</t>
  </si>
  <si>
    <t>Number of</t>
  </si>
  <si>
    <t>Exercise</t>
  </si>
  <si>
    <t>In-the-Money</t>
  </si>
  <si>
    <t>Tranche</t>
  </si>
  <si>
    <t>Shares</t>
  </si>
  <si>
    <t>Price</t>
  </si>
  <si>
    <t>Proceeds</t>
  </si>
  <si>
    <t>Tranche 1</t>
  </si>
  <si>
    <t>Tranche 2</t>
  </si>
  <si>
    <t>Tranche 3</t>
  </si>
  <si>
    <t>Tranche 4</t>
  </si>
  <si>
    <t>Tranche 5</t>
  </si>
  <si>
    <t xml:space="preserve">   Total</t>
  </si>
  <si>
    <t>Basic Shares Outstanding</t>
  </si>
  <si>
    <t>Plus: Shares from In-the-Money Options</t>
  </si>
  <si>
    <t>Less: Shares Repurchased</t>
  </si>
  <si>
    <t xml:space="preserve">   Net New Shares from Options</t>
  </si>
  <si>
    <t>Plus: Shares from Convertible Securities</t>
  </si>
  <si>
    <t xml:space="preserve">   Fully Diluted Shares Outstanding</t>
  </si>
  <si>
    <t>Working Capital Projections</t>
  </si>
  <si>
    <t xml:space="preserve">($ in thousands, fiscal year ending december 31) </t>
  </si>
  <si>
    <t>Just Operating</t>
  </si>
  <si>
    <t>Current Assets</t>
  </si>
  <si>
    <t>Accounts Receivable</t>
  </si>
  <si>
    <t>Inventories</t>
  </si>
  <si>
    <t>Prepaid Expenses and Other</t>
  </si>
  <si>
    <t xml:space="preserve">   Total Current Assets</t>
  </si>
  <si>
    <t>Current Liabilities</t>
  </si>
  <si>
    <t>Accounts Payable</t>
  </si>
  <si>
    <t>Accrued Liabilities</t>
  </si>
  <si>
    <t>Other Current Liabilities</t>
  </si>
  <si>
    <t xml:space="preserve">   Total Current Liabilities</t>
  </si>
  <si>
    <t xml:space="preserve">   Net Working Capital</t>
  </si>
  <si>
    <t xml:space="preserve">   % sales</t>
  </si>
  <si>
    <t xml:space="preserve">   (Increase) / Decrease in NWC</t>
  </si>
  <si>
    <t>Days Sales Outstanding</t>
  </si>
  <si>
    <t>Days Inventory Held</t>
  </si>
  <si>
    <t>Prepaids and Other CA (% of sales)</t>
  </si>
  <si>
    <t>Days Payable Outstanding</t>
  </si>
  <si>
    <t>Accrued Liabilities (% of sales)</t>
  </si>
  <si>
    <t>Other Current Liabilities (% of sales)</t>
  </si>
  <si>
    <t>Weighted Average Cost of Capital Analysis</t>
  </si>
  <si>
    <t>($ in thousands)</t>
  </si>
  <si>
    <t>WACC Calculation</t>
  </si>
  <si>
    <t>Comparable Companies Unlevered Beta</t>
  </si>
  <si>
    <t>Target Capital Structure</t>
  </si>
  <si>
    <t>Predicted</t>
  </si>
  <si>
    <t xml:space="preserve">Market </t>
  </si>
  <si>
    <t>Debt/</t>
  </si>
  <si>
    <t>Marginal</t>
  </si>
  <si>
    <t>Unlevered</t>
  </si>
  <si>
    <t>Debt-to-Total Capitalization</t>
  </si>
  <si>
    <t>Company</t>
  </si>
  <si>
    <t>Levered Beta (4)</t>
  </si>
  <si>
    <t>Value of Debt</t>
  </si>
  <si>
    <t>Value of Equity</t>
  </si>
  <si>
    <t>Equity</t>
  </si>
  <si>
    <t>Beta</t>
  </si>
  <si>
    <t>Equity-to-Total Capitalization</t>
  </si>
  <si>
    <t>Xponential Fitness</t>
  </si>
  <si>
    <t>Life Time Group</t>
  </si>
  <si>
    <t>Cost of Debt</t>
  </si>
  <si>
    <t>Cost-of-Debt</t>
  </si>
  <si>
    <t xml:space="preserve">   After-tax Cost of Debt</t>
  </si>
  <si>
    <t xml:space="preserve">Mean </t>
  </si>
  <si>
    <t>Median</t>
  </si>
  <si>
    <t>Cost of Equity</t>
  </si>
  <si>
    <t>ValueCo Relevered Beta</t>
  </si>
  <si>
    <t>Risk-free Rate (1)</t>
  </si>
  <si>
    <t>Mean</t>
  </si>
  <si>
    <t>Target</t>
  </si>
  <si>
    <t>Market Risk Premium (2)</t>
  </si>
  <si>
    <t>Relevered</t>
  </si>
  <si>
    <t>Levered Beta</t>
  </si>
  <si>
    <t>Size Premium (3)</t>
  </si>
  <si>
    <t>Relevered Beta</t>
  </si>
  <si>
    <t xml:space="preserve">   Cost of Equity</t>
  </si>
  <si>
    <t>WACC Sensitivity Analysis</t>
  </si>
  <si>
    <t>Pre-tax Cost of Debt</t>
  </si>
  <si>
    <t>(1) Interpolated yield on 20-year U.S. Treasury, sourced from US Treasury</t>
  </si>
  <si>
    <t>(2) Tax rate obtained from 10k</t>
  </si>
  <si>
    <t>(3) Mid-cap Decile size premium based on market capitalization, per Ibbotson</t>
  </si>
  <si>
    <t>(4) MRP Sourced from Damodaran</t>
  </si>
  <si>
    <t>Share Price</t>
  </si>
  <si>
    <t>pitchbook</t>
  </si>
  <si>
    <t>https://my.pitchbook.com/gs/all</t>
  </si>
  <si>
    <t>Shares Outstanding</t>
  </si>
  <si>
    <t>(in thousands)</t>
  </si>
  <si>
    <t>Market Cap</t>
  </si>
  <si>
    <t>Total Current Debt &amp; Capital Lease Obligation</t>
  </si>
  <si>
    <t>Total Long Term Debt and Capital Lease Obligation</t>
  </si>
  <si>
    <t xml:space="preserve">Equity to total </t>
  </si>
  <si>
    <t>Total Debt</t>
  </si>
  <si>
    <t xml:space="preserve">Debt to total </t>
  </si>
  <si>
    <t>Interest Expense</t>
  </si>
  <si>
    <t>RFR</t>
  </si>
  <si>
    <r>
      <t>Daily Treasury rates | U.S. Department of the Treasury</t>
    </r>
    <r>
      <rPr>
        <sz val="12"/>
        <rFont val="Times New Roman"/>
        <charset val="1"/>
      </rPr>
      <t>. (2025, December 23). U.S. Department of The Treasury. https://home.treasury.gov/resource-center/data-chart-center/interest-rates/TextView?type=daily_treasury_yield_curve&amp;field_tdr_date_value=202602</t>
    </r>
  </si>
  <si>
    <t>MRP</t>
  </si>
  <si>
    <r>
      <t>Damodaran online: Home page for Aswath Damodaran</t>
    </r>
    <r>
      <rPr>
        <sz val="12"/>
        <rFont val="Times New Roman"/>
        <charset val="1"/>
      </rPr>
      <t>. (n.d.). https://pages.stern.nyu.edu/~adamodar/</t>
    </r>
  </si>
  <si>
    <t xml:space="preserve">Xponential Fitness </t>
  </si>
  <si>
    <t>Predicted levered beta</t>
  </si>
  <si>
    <t xml:space="preserve">Market Value of Equity </t>
  </si>
  <si>
    <t>Total Current Debt &amp; Capital Lease Obligation (FY2024)</t>
  </si>
  <si>
    <t>Total Long Term Debt and Capital Lease Obligation (FY2024)</t>
  </si>
  <si>
    <t>Total Debt (FY2024)</t>
  </si>
  <si>
    <t>EV/EBITDA</t>
  </si>
  <si>
    <t xml:space="preserve">Life Time Group </t>
  </si>
  <si>
    <t xml:space="preserve">The BeachBody Company </t>
  </si>
  <si>
    <t>(we didnt take this because it was not reliable)</t>
  </si>
  <si>
    <t>Current Portion of Term Loan</t>
  </si>
  <si>
    <t>Long Term Loan</t>
  </si>
  <si>
    <t>Lease Debt</t>
  </si>
  <si>
    <t>Peloton Interactive</t>
  </si>
  <si>
    <t>(we didnt take this because fiscal year was scattered and mismatched)</t>
  </si>
  <si>
    <t>Assumptions Page 1 - Income Statement and Cash Flow Statement</t>
  </si>
  <si>
    <t>Income Statement Assumptions</t>
  </si>
  <si>
    <t xml:space="preserve">   Base</t>
  </si>
  <si>
    <t xml:space="preserve">   Upside</t>
  </si>
  <si>
    <t xml:space="preserve">   Downside</t>
  </si>
  <si>
    <t>Cost of Goods Sold (% sales)</t>
  </si>
  <si>
    <t>Cash Flow Statement Assumptions</t>
  </si>
  <si>
    <t>Capital Expenditures (% of sales)</t>
  </si>
  <si>
    <t>Planet Fitness, Inc.</t>
  </si>
  <si>
    <t>SALES GROWTH ASSUMPTIONS</t>
  </si>
  <si>
    <t>Source: Planet Fitness, Inc. (2025). Form 10-K for the fiscal year ended December 31, 2024. U.S. Securities and Exchange Commission.</t>
  </si>
  <si>
    <t>COGS ASSUMPTIONS</t>
  </si>
  <si>
    <t>SG&amp;A (% of Sales) ASSUMPTIONS</t>
  </si>
  <si>
    <t>D&amp;A (% of Sales) ASSUMPTIONS</t>
  </si>
  <si>
    <t>Capital Expenditures (% of sales) ASSUMPTIONS</t>
  </si>
  <si>
    <t>Trend</t>
  </si>
  <si>
    <t xml:space="preserve"> ↘ Slowing down</t>
  </si>
  <si>
    <t>COGS % Sales</t>
  </si>
  <si>
    <t>SG&amp;A % Sales</t>
  </si>
  <si>
    <t xml:space="preserve"> ↘ Improving </t>
  </si>
  <si>
    <t>D&amp;A % Sales</t>
  </si>
  <si>
    <t xml:space="preserve"> → Stable</t>
  </si>
  <si>
    <t>Capex to Sales</t>
  </si>
  <si>
    <t xml:space="preserve"> ↗ Growing up</t>
  </si>
  <si>
    <t>Higher capital expenditures primarily from new corporate-owned clubs</t>
  </si>
  <si>
    <t>For the Base Scenario:</t>
  </si>
  <si>
    <t>1. Company guidance: Expected to open 900 additional clubs, including more than 500 over the next three years Source: Planet Fitness 10-K 2024, p. 4</t>
  </si>
  <si>
    <t>As the company say in the 10K "Increase primarily attributable to higher consulting costs from strategic initiatives and CEO transition payroll costs" (Planet Fitness, 2025, Results of Operations, p.53)</t>
  </si>
  <si>
    <t>As the company say in the 10K "This increase was primarily attributable to new clubs opened and acquired since January 1, 2023." (Planet Fitness, 2025, Results of Operations, p.53)</t>
  </si>
  <si>
    <t>In 2024 $515.3 million sales attributable to our corporate-owned clubs. Of the PNLT 2,722 clubs, 277 are corporate-owned.</t>
  </si>
  <si>
    <t>- 500 clubs / 3 years = 167 clubs/year (average) 2024 base: 2,722 clubs 167 / 2,722 = 6.1% unit growth potential</t>
  </si>
  <si>
    <t>In the 10K of 2024, PLNT have declared "higher margin equipment sales related to an updated equipment mix as a result of the adoption of the franchise growth model"</t>
  </si>
  <si>
    <t xml:space="preserve">Based on the last years improvement we can see one clear trend: -0.6 to -0.8pp annual </t>
  </si>
  <si>
    <t>Linkage to Capex: D&amp;A follows Capex with ~3-5 year lag. In 2024 Capex: $155M (13.1% of sales). If Capex stable at ~13-14% of sales, D&amp;A should stabilize around 13.5%. Source: (Planet Fitness 10-K, 2024, Cash Flow Statement, p. 55)</t>
  </si>
  <si>
    <t xml:space="preserve">In 2023 $475.8 million sales attributable to our corporate-owned stores. Of our 2,575 stores, 256 are corporate-owned. </t>
  </si>
  <si>
    <t>2. Historical growth: 12.3% CAGR (2021-2023) (Calculation based on Planet Fitness Income Statement PitchBook)</t>
  </si>
  <si>
    <t>For 2025 the company will not have the cost with the CEO transition costs that will reduce more the SG&amp;A</t>
  </si>
  <si>
    <t>So in 2022 to 2023, they create 18 stores (+7.69%) (the according of the 2024 10K, p.47). In 2023 to 2024 they create 21 corporate-owned stores (+8.2%)</t>
  </si>
  <si>
    <t>3.US Health &amp; Fitness Club Market is expected to grow at a CAGR of 8.8% from 2024 to 2030 (Grand View Research, 2024, https://www.grandviewresearch.com/industry-analysis/us-health-fitness-club-market)</t>
  </si>
  <si>
    <t xml:space="preserve">And with our assumption to growth in sales we assume that for the SG&amp;A forecast will be: </t>
  </si>
  <si>
    <t>2025 to 2034</t>
  </si>
  <si>
    <t>Avg of the last three years</t>
  </si>
  <si>
    <t>In the capital Expenditure table. Source: Planet Fitness 10-K, 2024, Investing activities, p. 55 and p.56 and Planet Fitness 10-K, 2023, Investing activities, p. 55 and p.56</t>
  </si>
  <si>
    <t>Year</t>
  </si>
  <si>
    <t>Growth</t>
  </si>
  <si>
    <t>For the Upside Scenario:</t>
  </si>
  <si>
    <t>Capex Last 3 Years</t>
  </si>
  <si>
    <t>If GDP grows and demand increases, the company needs to invest in new factories, IT, or fleets. This new CAPEX will generate new depreciation lines.</t>
  </si>
  <si>
    <t>Gradual moderation toward industry rate</t>
  </si>
  <si>
    <t xml:space="preserve">Because of your expectations in Sales Growth and thinging about the business of the company that have a portion of sales in equipments </t>
  </si>
  <si>
    <t>Therefore, the optimistic revenue scenario is usually accompanied by a higher D&amp;A in the future. We are assuming more clubs, so more Capex and more future D&amp;A</t>
  </si>
  <si>
    <t>New clubs</t>
  </si>
  <si>
    <t>$40.8M</t>
  </si>
  <si>
    <t>$52.6M</t>
  </si>
  <si>
    <t>$65.4M</t>
  </si>
  <si>
    <t>Converging to industry</t>
  </si>
  <si>
    <t>In upside revenue scenario (12.3% vs 10% base), SG&amp;A leverage accelerates.</t>
  </si>
  <si>
    <t xml:space="preserve">In 2024 </t>
  </si>
  <si>
    <t>Existing clubs</t>
  </si>
  <si>
    <t>$43.3M</t>
  </si>
  <si>
    <t>$59.6M</t>
  </si>
  <si>
    <t>$66.4M</t>
  </si>
  <si>
    <t>2028 to 2034</t>
  </si>
  <si>
    <t>Aligned with industry expectetions of CAGR (8.8%)</t>
  </si>
  <si>
    <t>Source: (Analyst estimate based on operating leverage)</t>
  </si>
  <si>
    <t>IT systems</t>
  </si>
  <si>
    <t>$15.8M</t>
  </si>
  <si>
    <t>$23.6M</t>
  </si>
  <si>
    <t>$22.2M</t>
  </si>
  <si>
    <t>the same as the highest in the last 3 years</t>
  </si>
  <si>
    <t>Corporate/other</t>
  </si>
  <si>
    <t>$ 0.2M</t>
  </si>
  <si>
    <t>$ 1.1M</t>
  </si>
  <si>
    <t>For Upside Scenario: Strong Economic Growth</t>
  </si>
  <si>
    <t>TOTAL</t>
  </si>
  <si>
    <t>$100.1M</t>
  </si>
  <si>
    <t>$136.0M</t>
  </si>
  <si>
    <t>$155.1M</t>
  </si>
  <si>
    <t>1.I search the GDP for the next years in FRED (https://fred.stlouisfed.org/series/GDPPOT#) and calculate the expected growth per year. And i use this growth to imagine one best scenario possible where the company follow the GDP Growth percentage (GDP in another sheet)</t>
  </si>
  <si>
    <t>For the Downside Scenario:</t>
  </si>
  <si>
    <t>D&amp;A remains elevated in 2025 (reflects 2024 Capex), then declines as low Capex (9.7%)</t>
  </si>
  <si>
    <t>% of Sales</t>
  </si>
  <si>
    <t>+2.4pp</t>
  </si>
  <si>
    <t>2. Historical Correlation: During 2021-2022 economic recovery, PLNT grew 14%+ (Planet Fitness 10-K, 2022-2023)</t>
  </si>
  <si>
    <t>Revenue grows only 6.5% vs 10% base case. Fixed SG&amp;A components (rent, base salaries) spread over smaller revenue increase.</t>
  </si>
  <si>
    <t>3. Accelerated Execution. In strong economy, franchisees accelerate openings 
Changing the number of open clubs per year: 200 clubs/year vs 167 base case. Exist the possibility of 7.4% unit growth vs 6.1%</t>
  </si>
  <si>
    <t>Salary inflation continues (3-4%) even in recession.</t>
  </si>
  <si>
    <t>Cost New Clubs</t>
  </si>
  <si>
    <t>per new club</t>
  </si>
  <si>
    <t>(Conservative assumption based on fixed cost structure analysis)</t>
  </si>
  <si>
    <t>$40.8M / 14 clubs</t>
  </si>
  <si>
    <t>Millions</t>
  </si>
  <si>
    <t>$52.6M / 18 clubs</t>
  </si>
  <si>
    <t>$65.4M / 21 clubs</t>
  </si>
  <si>
    <t xml:space="preserve">Existing Clubs </t>
  </si>
  <si>
    <t>$59.6M / 234</t>
  </si>
  <si>
    <t xml:space="preserve">For Downside Scenario: </t>
  </si>
  <si>
    <t>$66.4M / 256</t>
  </si>
  <si>
    <t>For this scenario, I compared the years 2019 with 2020, where we had a strong economic recession.</t>
  </si>
  <si>
    <t>Sources: (PitchBook https://my.pitchbook.com/profile/55520-74/company/financials/INCOME_STATEMENT)</t>
  </si>
  <si>
    <t>PLNT demonstrated resilience but growth slowed materially vs pre-pandemic trends.</t>
  </si>
  <si>
    <t>1. Company guidance of 500+ clubs assumes normal economic conditions. In recession, franchisees delay expansion plans.</t>
  </si>
  <si>
    <t xml:space="preserve">We are assuming that the company will create 20 new corporate clubs per year. </t>
  </si>
  <si>
    <t>Assumption: 100 clubs/year vs 167 base case → 3.7% unit growth vs 6.1%</t>
  </si>
  <si>
    <t>Per club Cost we are assuming 3M.</t>
  </si>
  <si>
    <t>Existing Club we are assuming 250k or 0.25 M</t>
  </si>
  <si>
    <t>The rest lines we assume that will be the same as 2024</t>
  </si>
  <si>
    <t>-3.5pp adjustment represents material but realistic downside scenario without assuming complete market collapse. PLNT's value positioning provides relative resilience vs premium competitors.</t>
  </si>
  <si>
    <t>New Clubs (#)</t>
  </si>
  <si>
    <t>Existing clubs (#)</t>
  </si>
  <si>
    <t>Capex</t>
  </si>
  <si>
    <t>Revenue</t>
  </si>
  <si>
    <t>% Capex</t>
  </si>
  <si>
    <t xml:space="preserve">We are assuming that the company will create 30 new corporate clubs per year. </t>
  </si>
  <si>
    <t xml:space="preserve">We are assuming that the company will create 10 new corporate clubs per year. </t>
  </si>
  <si>
    <t>Existing Club we are assuming 200k or 0.20 M.</t>
  </si>
  <si>
    <t>FRED Graph Observations</t>
  </si>
  <si>
    <t>Federal Reserve Economic Data, Federal Reserve Bank of St. Louis</t>
  </si>
  <si>
    <t>Link: https://fred.stlouisfed.org</t>
  </si>
  <si>
    <t>Help: https://fredhelp.stlouisfed.org</t>
  </si>
  <si>
    <t>This data may be copyrighted. Please refer to the Terms of Use: https://fred.stlouisfed.org/legal#fred-terms-faq</t>
  </si>
  <si>
    <t>File Created: 2026-02-17 1:34 pm CST</t>
  </si>
  <si>
    <t>Data Updated: 2025-03-17</t>
  </si>
  <si>
    <t>GDPPOT</t>
  </si>
  <si>
    <t>Real Potential Gross Domestic Product, Billions of Chained 2017 Dollars, Annual, Not Seasonally Adjusted</t>
  </si>
  <si>
    <t>observation_date</t>
  </si>
  <si>
    <t>Assumptions Page 2 - Balance Sheet</t>
  </si>
  <si>
    <t>Days Sales Outstanding (DSO)</t>
  </si>
  <si>
    <t>Days Inventory Held (DIH)</t>
  </si>
  <si>
    <t>Prepaid and Other Current Assets (% of sales)</t>
  </si>
  <si>
    <t>Days Payable Outstanding (DPO)</t>
  </si>
  <si>
    <t>C) Scenario table (linked to AS2 inputs)</t>
  </si>
  <si>
    <t>Metric</t>
  </si>
  <si>
    <t>FY2024</t>
  </si>
  <si>
    <t>FY2023</t>
  </si>
  <si>
    <t>FY2022</t>
  </si>
  <si>
    <t>Avg</t>
  </si>
  <si>
    <t>Used for</t>
  </si>
  <si>
    <t>Base 2025</t>
  </si>
  <si>
    <t>Base 2034</t>
  </si>
  <si>
    <t>Upside 2025</t>
  </si>
  <si>
    <t>Upside 2034</t>
  </si>
  <si>
    <t>Downside 2025</t>
  </si>
  <si>
    <t>Downside 2034</t>
  </si>
  <si>
    <t>DSO</t>
  </si>
  <si>
    <t>AS2 Base 2025–2029</t>
  </si>
  <si>
    <t>DPO</t>
  </si>
  <si>
    <t>Prepaid %</t>
  </si>
  <si>
    <t xml:space="preserve">Prepaid </t>
  </si>
  <si>
    <t>Accrued %</t>
  </si>
  <si>
    <t>Accrued</t>
  </si>
  <si>
    <t>Other CL %</t>
  </si>
  <si>
    <t>Other CL</t>
  </si>
  <si>
    <t>Notes</t>
  </si>
  <si>
    <t xml:space="preserve">FY2022–FY2024 averages computed from PitchBook financial statements (Planet Fitness, downloaded 17-Feb-2026). </t>
  </si>
  <si>
    <t>Formulas: DSO=AR/Revenue*365; DPO=AP/COGS*365; % items=BS line item/Revenue.</t>
  </si>
  <si>
    <t>B)Base case rationale (why Base is flat 2025-2034)</t>
  </si>
  <si>
    <t>Base (flat):</t>
  </si>
  <si>
    <t>D) Metric cards (narrative + key endpoints)</t>
  </si>
  <si>
    <t>Card 1 — Cash conversion (DSO/DPO)</t>
  </si>
  <si>
    <t xml:space="preserve">DSO </t>
  </si>
  <si>
    <t>Definition:</t>
  </si>
  <si>
    <t>(A/R ÷ Revenue) × 365</t>
  </si>
  <si>
    <t>Set to FY22–FY24 average (=18.7d) to represent steady-state collection efficiency; single-year DSO is timing-driven.</t>
  </si>
  <si>
    <t>10-K linkage:</t>
  </si>
  <si>
    <t>Accounts receivable is influenced by equipment sales/placement activity; the 2024 working capital cash outflow was driven in part by an increase in accounts receivable due to higher equipment sales to existing franchisee-owned clubs.
 (Planet Fitness, Inc., 2025, Form 10-K, p. 55)</t>
  </si>
  <si>
    <t xml:space="preserve">Historical anchor </t>
  </si>
  <si>
    <t>FY22–FY24 averages computed from PitchBook financial statements (downloaded 17-Feb-2026). (PitchBook Data, Inc., 2026).</t>
  </si>
  <si>
    <t>Scenario logic / inputs:</t>
  </si>
  <si>
    <t>A/P ÷ COGS) × 365</t>
  </si>
  <si>
    <t>Base (2034)</t>
  </si>
  <si>
    <t>Upside(2034)</t>
  </si>
  <si>
    <t>Downside (2034)</t>
  </si>
  <si>
    <t>FY22–24 avg = 18.1d</t>
  </si>
  <si>
    <t>DSO (days)</t>
  </si>
  <si>
    <t>DPO (days)</t>
  </si>
  <si>
    <t>Card 2 —Balance-sheet ratios (% of sales)</t>
  </si>
  <si>
    <t>Prepaid &amp; Other CA (% sales)</t>
  </si>
  <si>
    <t>Prepaid &amp; Other CA ÷ Sales</t>
  </si>
  <si>
    <t>FY22–24 avg = 1.43%</t>
  </si>
  <si>
    <t>Base flat at 1.4%; Upside trends down to 1.2%; Downside trends up to 1.7%.</t>
  </si>
  <si>
    <t>Historical anchor :</t>
  </si>
  <si>
    <t>Accrued Liabilities (% sales)</t>
  </si>
  <si>
    <t>Accrued Liabilities / Sales</t>
  </si>
  <si>
    <t>FY22–24 avg = 6.36%</t>
  </si>
  <si>
    <t>Prepaid (% sales)</t>
  </si>
  <si>
    <t>Accounts payable and accrued expenses increased primarily from payables related to equipment orders, providing a partial offset to working capital cash outflow. 
(Planet Fitness, Inc., 2025, Form 10-K, p. 55)</t>
  </si>
  <si>
    <t>Accrued (% sales)</t>
  </si>
  <si>
    <t>Base flat at 6.4%; Upside up to ~6.8%; Downside down to ~5.8%.</t>
  </si>
  <si>
    <t>Other CL (% sales)</t>
  </si>
  <si>
    <t>Other Current Liabilities (% sales)</t>
  </si>
  <si>
    <t>Other CL ÷ Sales</t>
  </si>
  <si>
    <t>FY22–24 avg = 4.20%</t>
  </si>
  <si>
    <t>Base flat at 4.2%; Upside up to ~4.5%; Downside down to ~3.7%.</t>
  </si>
  <si>
    <t>Notes:</t>
  </si>
  <si>
    <t>References</t>
  </si>
  <si>
    <t>PitchBook Data, Inc. (2026, February 17). Planet Fitness (PLNT) financial statements (FY2022–FY2024) [Data set].</t>
  </si>
  <si>
    <t xml:space="preserve">PwC. (2024). Working Capital Study 24/25 (UK). </t>
  </si>
  <si>
    <t xml:space="preserve">The Hackett Group. (2024, August 29). Triple Threat: All working capital metrics degrade for the first time in a decade[Press release/article]. </t>
  </si>
  <si>
    <t>Damodaran, A. (2026). Working capital ratios by sector (US) [Data set]. NYU Stern.</t>
  </si>
  <si>
    <t>A) Summary table</t>
  </si>
  <si>
    <t xml:space="preserve">In the Last 3 years the COGS (% of Sales) have increased an average of -1.1pp from 2023 to 2024. </t>
  </si>
  <si>
    <t>Because of that we assume that continuation of recent trend with modest inflation</t>
  </si>
  <si>
    <t>the assumption are the company will continue shift to higher-margin equipment package so less 1pp in the COGS</t>
  </si>
  <si>
    <t>Because of your expectations in recessions, input cost inflation (materials, freight) and the franchisees delay club openings (less equipment sales) one bigger COGS</t>
  </si>
  <si>
    <t xml:space="preserve"> ↗ Increasing</t>
  </si>
  <si>
    <t>Team #5</t>
  </si>
  <si>
    <t>Yahoo Finance. (n.d.-b). Yahoo Finance. Retrieved February 15, 2026, from https://finance.yahoo.com/quote/XPOF/key-statistics/</t>
  </si>
  <si>
    <t>Yahoo Finance. (n.d.). Yahoo Finance. Retrieved February 15, 2026, from https://finance.yahoo.com/quote/LTH/key-statistics/</t>
  </si>
  <si>
    <t>Yahoo Finance. (n.d.-g). Yahoo Finance. Retrieved February 15, 2026, from https://finance.yahoo.com/quote/BODI/key-statistics/</t>
  </si>
  <si>
    <t>Yahoo Finance. (n.d.-g). Yahoo Finance. Retrieved February 15, 2026, from https://finance.yahoo.com/quote/PTON/key-statistics/</t>
  </si>
  <si>
    <t xml:space="preserve">upside: gradual improvement to 16.5d by 2034 (scale + process efficiency)
Downside: deterioration to 23.0d by 2034 (slower collections under stress).
Collections efficiency (DSO) is a key driver of working capital and could worsen or improve depending on payment behavior and process discipline; we therefore flex DSO modestly around the Base in scenarios. (PwC, 2024).
</t>
  </si>
  <si>
    <t>The impact of working capital changes was partially offset by an increase in accounts payable and accrued expenses, mainly driven by payables associated with equipment orders.
(Planet Fitness, Inc., 2025, Form 10-K, Operating activities discussion, p.55</t>
  </si>
  <si>
    <t>On the positive side, accounts payable payment timing is expected to gradually improve as equipment ordering activities expand. On the negative side, payment timing is expected to become tighter under stress conditions.
(Planet Fitness, Inc., 2025, Form 10-K, p. 55)</t>
  </si>
  <si>
    <t>FY22–FY24 averages are calculated based on financial statements obtained from PitchBook (downloaded February 17, 2026) (PitchBook Data, Inc., 2026).
Payables performance may tighten in more stressed environments and improve through proactive supplier management strategies. Accordingly, we adjust DPO in our scenarios, while keeping the changes relatively moderate (The Hackett Group, 2024).</t>
  </si>
  <si>
    <t>Cash outflows for working capital were also caused primarily by increases in other assets and other current assets, mainly due to other receivables and general prepaid expenses.
(Planet Fitness, Inc., 2025, Form 10-K, p. 55)</t>
  </si>
  <si>
    <t>Planet Fitness, Inc. (2025). Form 10-K for the fiscal year ended December 31, 2023. U.S. Securities and Exchange Commission.</t>
  </si>
  <si>
    <t>Planet Fitness, Inc. (2025). Form 10-K for the fiscal year ended December 31, 2024. U.S. Securities and Exchange Commission</t>
  </si>
  <si>
    <t>Planet Fitness, Inc. (2025). Form 10-K for the fiscal year ended December 31, 2022. U.S. Securities and Exchange Commission.</t>
  </si>
  <si>
    <t>Federal Reserve Bank of St. Louis. (n.d.). Gross domestic product: Potential GDP (GDPPOT). FRED Economic Data. Retrieved February 20, 2026, from https://fred.stlouisfed.org/series/GDPPOT</t>
  </si>
  <si>
    <t>Grand View Research. (2024). U.S. health &amp; fitness club market size, share &amp; trends analysis report. https://www.grandviewresearch.com/industry-analysis/us-health-fitness-club-market</t>
  </si>
  <si>
    <t>Seeking Alpha. (n.d.). Planet Fitness (PLNT): Valuation metrics. Retrieved February 22, 2026, from https://seekingalpha.com/symbol/PLNT/valuation/metrics</t>
  </si>
  <si>
    <t>By 2034, the upside case assumes better cash conversion than the base case. DSO declines from 18.7 to 16.5 days and DPO increases from 18.1 to 22.0 days, reflecting faster collections and slightly more favorable supplier terms.
In the downside case, cash conversion worsens: DSO rises to 23.0 days and DPO falls to 15.0 days. This results in slower collections and tighter payment timing under more stressed conditions. These directional assumptions are consistent with the company’s discussion in the 2024 Form 10-K, which highlights accounts receivable (including equipment sales timing) and accounts payable/accrued expenses (including equipment-related payables) as key working capital drivers (Planet Fitness, Inc., 2025, Form 10-K, p. 55).
Historical baselines are anchored to FY2022–FY2024 averages calculated from PitchBook financial statements (PitchBook Data, Inc., 2026).</t>
  </si>
  <si>
    <t>By 2034, the upside case could be assumed by stable improvement in working-capital timing relative to the base case. Prepaid and Other Current Assets decline from 1.4% to 1.2% of sales, while Accrued Liabilities increase from 6.4% to 6.8% and Other Current Liabilities increase from 4.2% to 4.5% of sales. This will affect in by slightly more favorable timing in prepaids and a stronger buildup of current liabilities.
In the downside case, we assumed that moderate pressure on working capital. Prepaids rise to 1.7% of sales, while Accrued Liabilities decline to 5.8% and Other Current Liabilities decline to 3.7%, reflecting less favorable prepaid timing and weaker current liability accumulation.
This approach is consistent with the FY2024 Form 10-K discussion of operating cash flow, which notes that increases in other assets/current assets (including prepaid expenses) contributed to working-capital cash outflows, partially offset by increases in accounts payable, accrued expenses, and deferred revenue from annual billings (Planet Fitness, Inc., 2025, Form 10-K, p. 55).
The percent-of-sales assumptions are anchored to FY2022–FY2024 historical averages calculated from PitchBook financial statement data (PitchBook Data, Inc., 2026).</t>
  </si>
  <si>
    <t>Deferred revenue increased mainly from increased annual billings revenue. 
(Planet Fitness, Inc., 2025, Form 10-K, p. 55)</t>
  </si>
  <si>
    <t>Planet Fitness operates mainly as a franchisor and membership-based service provider. Its core revenues are generated from royalty income, franchise-related fees, and membership dues rather than from the sale of inventory-based products.
As a result, the company carries almost no meaningful inventory on its balance sheet, and changes in inventory do not represent a material driver of working capital. Therefore, this analysis assumes Days Inventory Held (DIH) of 0 days across the Base, Upside, and Downside scenarios throughout the forecast period.</t>
  </si>
  <si>
    <t>Components</t>
  </si>
  <si>
    <t>We use the FY2022–FY2024 average for a proxy for steady-state working capital efficiency. Year-to-year fluctuations are mainly driven by timing effects, such as the timing of equipment sales, changes in other assets and prepaids, movements in accounts payable and accrued expenses, and shift in deferred revenue. This interpretation is consistent with the FY2024 10-K discussion of operating cash flow, which highlights changes in accounts receivable, other current assets (including prepaids), accounts payable and accrued expenses, and deferred revenue as key working capital drivers. (Planet Fitness, Inc., 2025, Form 10-K, p. 55).
In External, broader market research suggests that DSO and DPO can change in a big scale over time, and that DSO in particular is an important driver of working capital levels. This supports our approach of setting a normalized Base case and then adjusting Upside and Downside scenarios around that assumptions.(PwC, 2024; The Hackett Group,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</si>
</sst>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2">
    <numFmt numFmtId="44" formatCode="_-&quot;R$&quot;\ * #,##0.00_-;\-&quot;R$&quot;\ * #,##0.00_-;_-&quot;R$&quot;\ * &quot;-&quot;??_-;_-@_-"/>
    <numFmt numFmtId="164" formatCode="&quot;$&quot;#,##0_);\(&quot;$&quot;#,##0\)"/>
    <numFmt numFmtId="165" formatCode="&quot;$&quot;#,##0_);[Red]\(&quot;$&quot;#,##0\)"/>
    <numFmt numFmtId="166" formatCode="&quot;$&quot;#,##0.00_);\(&quot;$&quot;#,##0.00\)"/>
    <numFmt numFmtId="167" formatCode="&quot;$&quot;#,##0.00_);[Red]\(&quot;$&quot;#,##0.00\)"/>
    <numFmt numFmtId="168" formatCode="_(&quot;$&quot;* #,##0_);_(&quot;$&quot;* \(#,##0\);_(&quot;$&quot;* &quot;-&quot;_);_(@_)"/>
    <numFmt numFmtId="169" formatCode="_(* #,##0_);_(* \(#,##0\);_(* &quot;-&quot;_);_(@_)"/>
    <numFmt numFmtId="170" formatCode="_(&quot;$&quot;* #,##0.00_);_(&quot;$&quot;* \(#,##0.00\);_(&quot;$&quot;* &quot;-&quot;??_);_(@_)"/>
    <numFmt numFmtId="171" formatCode="_(* #,##0.00_);_(* \(#,##0.00\);_(* &quot;-&quot;??_);_(@_)"/>
    <numFmt numFmtId="172" formatCode="&quot;$&quot;#,##0.0_);[Red]\(&quot;$&quot;#,##0.0\)"/>
    <numFmt numFmtId="173" formatCode="0.0%"/>
    <numFmt numFmtId="174" formatCode="#,##0.0_);[Red]\(#,##0.0\)"/>
    <numFmt numFmtId="175" formatCode="_(* #,##0.0_);_(* \(#,##0.0\);_(* &quot;-&quot;?_);_(@_)"/>
    <numFmt numFmtId="176" formatCode="#,##0.0;\(#,##0.0\)"/>
    <numFmt numFmtId="177" formatCode="#,##0.000;\(#,##0.000\)"/>
    <numFmt numFmtId="178" formatCode="0.0"/>
    <numFmt numFmtId="179" formatCode="_(* #,##0.00_);_(* \(#,##0.00\);_(* &quot;-&quot;?_);_(@_)"/>
    <numFmt numFmtId="180" formatCode="0.000"/>
    <numFmt numFmtId="181" formatCode="0.0000"/>
    <numFmt numFmtId="182" formatCode="#,##0.0"/>
    <numFmt numFmtId="183" formatCode="#,##0.0_);\(#,##0.0\)"/>
    <numFmt numFmtId="184" formatCode="&quot;$&quot;#,##0.0_);\(&quot;$&quot;#,##0.0\)"/>
    <numFmt numFmtId="185" formatCode="0.0\x"/>
    <numFmt numFmtId="186" formatCode="&quot;$&quot;#,##0.00"/>
    <numFmt numFmtId="187" formatCode="0.00_);[Red]\(0.00\)"/>
    <numFmt numFmtId="188" formatCode=";;;"/>
    <numFmt numFmtId="189" formatCode="_(* #,##0.0_);_(* \(#,##0.0\);_(* &quot;--- &quot;_)"/>
    <numFmt numFmtId="190" formatCode="_(&quot;$&quot;* #,##0.0_);_(&quot;$&quot;* \(#,##0.0\);_(&quot;$&quot;* &quot;--- &quot;_)"/>
    <numFmt numFmtId="191" formatCode="0.0\ \x_);\(0.0\ \x\);@_ _x_)"/>
    <numFmt numFmtId="192" formatCode="0.0_ _x_);\(0.0\)_ _x;@_ _x_)"/>
    <numFmt numFmtId="193" formatCode="_(* #,##0.0%_);_(* \(#,##0.0%\);_(* &quot;--- %&quot;_);_(* @_%_)"/>
    <numFmt numFmtId="194" formatCode="#,##0.0_);\(#,##0.0\);_(* &quot;-&quot;_)"/>
    <numFmt numFmtId="195" formatCode="_(&quot;$&quot;* #,##0.00_);_(&quot;$&quot;* \(#,##0.00\);_(* &quot;-&quot;_);_(@_)"/>
    <numFmt numFmtId="196" formatCode="#,##0.0\x"/>
    <numFmt numFmtId="197" formatCode="#,##0.00_);\(#,##0.00\);_(* &quot;-&quot;_)"/>
    <numFmt numFmtId="198" formatCode="#,##0_);\(#,##0\);_(* &quot;-&quot;_);_(* &quot;-&quot;_)"/>
    <numFmt numFmtId="199" formatCode="_(###.##%_);\(* &quot;-&quot;_);_(@_)"/>
    <numFmt numFmtId="200" formatCode="#,##0.00\x"/>
    <numFmt numFmtId="201" formatCode="0_)"/>
    <numFmt numFmtId="202" formatCode="0.00\x"/>
    <numFmt numFmtId="203" formatCode="_(* #,##0.00000_);_(* \(#,##0.00000\);_(* &quot;-&quot;??_);_(@_)"/>
    <numFmt numFmtId="204" formatCode="General_)"/>
    <numFmt numFmtId="205" formatCode="0.0%_%;\(0.0%\)_%"/>
    <numFmt numFmtId="206" formatCode="0.00_)"/>
    <numFmt numFmtId="207" formatCode="&quot;£&quot;#,##0;\-&quot;£&quot;#,##0"/>
    <numFmt numFmtId="208" formatCode="0.0\x_9"/>
    <numFmt numFmtId="209" formatCode="#,##0.0_);\(#,##0.0\);@_)"/>
    <numFmt numFmtId="210" formatCode="#,##0.0_);\(#,##0.0\);&quot;-&quot;?_);@_)"/>
    <numFmt numFmtId="211" formatCode="&quot;$&quot;#,##0.0_);\(&quot;$&quot;#,##0.0\);@_)"/>
    <numFmt numFmtId="212" formatCode="&quot;$&quot;#,##0.0_);\(&quot;$&quot;#,##0.0\);&quot;-&quot;?_);@_)"/>
    <numFmt numFmtId="213" formatCode="0.0%;\-0.0%;@_)"/>
    <numFmt numFmtId="214" formatCode="0.0%;\-0.0%;&quot;-&quot;?_);@_)"/>
    <numFmt numFmtId="215" formatCode="&quot;n&quot;"/>
    <numFmt numFmtId="216" formatCode="\€\ #,##0.0_);\(\€\ #,##0.0\);&quot;-&quot;?_);@_)"/>
    <numFmt numFmtId="217" formatCode="#,##0.0\x;\-#,##0.0\x;&quot;-&quot;?_);@_)"/>
    <numFmt numFmtId="218" formatCode="\€\ #,##0.0_);\(\€\ #,##0.0\);@_)"/>
    <numFmt numFmtId="219" formatCode="#,##0.0\%_);\(#,##0.0\%\);#,##0.0\%_);@_)"/>
    <numFmt numFmtId="220" formatCode="#,##0.00;\(#,##0.00\);_(* &quot;-&quot;_)"/>
    <numFmt numFmtId="221" formatCode="0.0000\x"/>
    <numFmt numFmtId="222" formatCode="_(* #,##0.000_);_(* \(#,##0.000\);_(* &quot;-&quot;?_);_(@_)"/>
    <numFmt numFmtId="223" formatCode="_(* #,##0.0%_);_(* \(#,##0.0%\);_(* &quot;- %&quot;_);_(* @_%_)"/>
    <numFmt numFmtId="224" formatCode="&quot;Year&quot;\ 0"/>
    <numFmt numFmtId="225" formatCode="&quot;$&quot;#,##0.00_%_);\(&quot;$&quot;#,##0.00\)_%;&quot;$&quot;###0.00_%_);@_%_)"/>
    <numFmt numFmtId="226" formatCode="0_);[Red]\(0\)"/>
    <numFmt numFmtId="227" formatCode="0.00\ ;\(0.00\)"/>
    <numFmt numFmtId="228" formatCode="&quot;$&quot;0.00\ ;\(&quot;$&quot;0.00\)"/>
    <numFmt numFmtId="229" formatCode="_(* #,##0.0_);[Red]_(* \(#,##0.0\);&quot;nm &quot;"/>
    <numFmt numFmtId="230" formatCode="_([$€-2]* #,##0.00_);_([$€-2]* \(#,##0.00\);_([$€-2]* &quot;-&quot;??_)"/>
    <numFmt numFmtId="231" formatCode="&quot;$&quot;_(#,##0.00_);&quot;$&quot;\(#,##0.00\)"/>
    <numFmt numFmtId="232" formatCode="#,##0.0_)\x;\(#,##0.0\)\x"/>
    <numFmt numFmtId="233" formatCode="#,##0.0_)_x;\(#,##0.0\)_x"/>
    <numFmt numFmtId="234" formatCode="0.0_)\%;\(0.0\)\%"/>
    <numFmt numFmtId="235" formatCode="#,##0.0_)_%;\(#,##0.0\)_%"/>
    <numFmt numFmtId="236" formatCode="&quot;$&quot;#,##0.00_)_x_x;\(&quot;$&quot;#,##0.00\)_x_x"/>
    <numFmt numFmtId="237" formatCode="#,##0.00_)_x_x;\(#,##0.00\)_x_x"/>
    <numFmt numFmtId="238" formatCode="#,##0.0_)_x_x_x;\(#,##0.0\)_x_x_x"/>
    <numFmt numFmtId="239" formatCode="0000"/>
    <numFmt numFmtId="240" formatCode="_(* #,##0.0%;_(* \(#,##0.0%\);_(* &quot;- %&quot;_);_(* @_%_)"/>
    <numFmt numFmtId="241" formatCode="* _(#,##0.0%_);* \(#,##0.0%\);* _(&quot;-&quot;?_);_(@_)"/>
    <numFmt numFmtId="242" formatCode="* _(##,##0.000_);* \(##,##0.000\);* _(&quot;-&quot;?_);_(@_)"/>
    <numFmt numFmtId="243" formatCode="* _(#,##0.00_);* \(#,##0.00\);* _(&quot;-&quot;?_);_(@_)"/>
    <numFmt numFmtId="244" formatCode="* _(##,##0.0_);[Red]* \(##,##0.0\);* _(&quot;-&quot;?_);_(@_)"/>
    <numFmt numFmtId="245" formatCode="#,##0.0\ \x"/>
    <numFmt numFmtId="246" formatCode="_-* #,##0\ &quot;F&quot;_-;\-* #,##0\ &quot;F&quot;_-;_-* &quot;-&quot;\ &quot;F&quot;_-;_-@_-"/>
    <numFmt numFmtId="247" formatCode="#,##0\ &quot;F&quot;;\-#,##0\ &quot;F&quot;"/>
    <numFmt numFmtId="248" formatCode="0.000_)"/>
    <numFmt numFmtId="249" formatCode="_(* #,##0.00_);_(* \(#,##0.00\);_(* &quot;-&quot;_);_(@_)"/>
    <numFmt numFmtId="250" formatCode="#,##0_)\x;\(#,##0\)\x"/>
    <numFmt numFmtId="251" formatCode="#,##0.00_)\x;\(#,##0.00\)\x"/>
    <numFmt numFmtId="252" formatCode="#,##0.000_);\(#,##0.000\)"/>
    <numFmt numFmtId="253" formatCode="#,##0.000_)\x;\(#,##0.000\)\x"/>
    <numFmt numFmtId="254" formatCode="#,##0.0000_);\(#,##0.0000\)"/>
    <numFmt numFmtId="255" formatCode="#,##0.0000_)\x;\(#,##0.0000\)\x"/>
    <numFmt numFmtId="256" formatCode="&quot;$&quot;#,##0.000_);\(&quot;$&quot;#,##0.000\)"/>
    <numFmt numFmtId="257" formatCode="_-[$€-2]* #,##0.00_-;\-[$€-2]* #,##0.00_-;_-[$€-2]* &quot;-&quot;??_-"/>
    <numFmt numFmtId="258" formatCode="0.0%_);\(0.0%\)"/>
    <numFmt numFmtId="259" formatCode="0.0\x_)"/>
    <numFmt numFmtId="260" formatCode="#,##0.0_)_x;\(#,##0.0\)\x;@_)_x"/>
    <numFmt numFmtId="261" formatCode="_-* #,##0\ _D_M_-;\-* #,##0\ _D_M_-;_-* &quot;-&quot;\ _D_M_-;_-@_-"/>
    <numFmt numFmtId="262" formatCode="_-* #,##0.00\ _D_M_-;\-* #,##0.00\ _D_M_-;_-* &quot;-&quot;??\ _D_M_-;_-@_-"/>
    <numFmt numFmtId="263" formatCode="_-* #,##0\ &quot;DM&quot;_-;\-* #,##0\ &quot;DM&quot;_-;_-* &quot;-&quot;\ &quot;DM&quot;_-;_-@_-"/>
    <numFmt numFmtId="264" formatCode="_-* #,##0.00\ &quot;DM&quot;_-;\-* #,##0.00\ &quot;DM&quot;_-;_-* &quot;-&quot;??\ &quot;DM&quot;_-;_-@_-"/>
    <numFmt numFmtId="265" formatCode="#,##0.0\x_);\(#,##0.0\x\)"/>
    <numFmt numFmtId="266" formatCode="0_)%;\(0\)%"/>
    <numFmt numFmtId="267" formatCode="0.000_)%;\(0.000\)%"/>
    <numFmt numFmtId="268" formatCode="0.0000_)%;\(0.0000\)%"/>
    <numFmt numFmtId="269" formatCode="0_ ;[Red]\-0\ "/>
    <numFmt numFmtId="270" formatCode="* _(&quot;$&quot;##,##0_);[Red]* \(&quot;$&quot;##,##0\);* _(&quot;-&quot;?_);_(@_)"/>
    <numFmt numFmtId="271" formatCode="* _(##,##0_);[Red]* \(##,##0\);* _(&quot;-&quot;?_);_(@_)"/>
    <numFmt numFmtId="272" formatCode="_(* #,##0.00_);_(* \(#,##0.00\);_(* &quot;--&quot;??_);_(@_)"/>
    <numFmt numFmtId="273" formatCode="#,##0.0_)_%;\(#,##0.0\)_%;0.0_)_%;@_)_%"/>
    <numFmt numFmtId="274" formatCode="_ * #,##0_ ;\ \(#,##0\)_ ;_ * &quot;-&quot;_ ;_ @_ "/>
    <numFmt numFmtId="275" formatCode="##\ &quot;Years&quot;"/>
    <numFmt numFmtId="276" formatCode="#,##0.0\x\ _);\(#,##0.0\x\)\ ;0.0\x_)\ ;@_%_)"/>
    <numFmt numFmtId="277" formatCode="0.0\%_);\(0.0\%\);0.0\%_);@_%_)"/>
    <numFmt numFmtId="278" formatCode="_(* #,##0.0_);_(* \(#,##0.0\);_(* &quot;-&quot;??_);_(@_)"/>
    <numFmt numFmtId="279" formatCode="#,##0_%_);\(#,##0\)_%;#,##0_%_);@_%_)"/>
    <numFmt numFmtId="280" formatCode="#,##0.00_%_);\(#,##0.00\)_%;**;@_%_)"/>
    <numFmt numFmtId="281" formatCode="#,##0.00_%_);\(#,##0.00\)_%;#,##0.00_%_);@_%_)"/>
    <numFmt numFmtId="282" formatCode="#,##0.0_%_);\(#,##0.0\)_%;**;@_%_)"/>
    <numFmt numFmtId="283" formatCode="&quot;$&quot;#,##0_%_);\(&quot;$&quot;#,##0\)_%;&quot;$&quot;#,##0_%_);@_%_)"/>
    <numFmt numFmtId="284" formatCode="#,##0.0%_);\(#,##0.0%\);0.0%_);@_%_)"/>
    <numFmt numFmtId="285" formatCode="&quot;$&quot;#,##0.00_%_);\(&quot;$&quot;#,##0.00\)_%;**;@_%_)"/>
    <numFmt numFmtId="286" formatCode="&quot;$&quot;#,##0.00_%_);\(&quot;$&quot;#,##0.00\)_%;&quot;$&quot;#,##0.00_%_);@_%_)"/>
    <numFmt numFmtId="287" formatCode="&quot;$&quot;#,##0.0_%_);\(&quot;$&quot;#,##0.0\)_%;**;@_%_)"/>
    <numFmt numFmtId="288" formatCode="#,##0.0_%_);\(#,##0.0\)_%;#,##0.0_%_);@_%_)\F\F\r"/>
    <numFmt numFmtId="289" formatCode="* _(#,##0.0_);* \(#,##0.0\);* _(&quot;-&quot;??_);_(@_)"/>
    <numFmt numFmtId="290" formatCode="* _(&quot;$&quot;##,##0.0_);[Red]* \(&quot;$&quot;##,##0.0\);* _(&quot;-&quot;?_);_(@_)"/>
    <numFmt numFmtId="291" formatCode="* _(&quot;$&quot;##,##0.00_);[Red]* \(&quot;$&quot;##,##0.00\);* _(&quot;-&quot;?_);_(@_)"/>
    <numFmt numFmtId="292" formatCode="* _(&quot;$&quot;#,##0.00_);* \(&quot;$&quot;#,##0.00\);* _(&quot;-&quot;?_);_(@_)"/>
    <numFmt numFmtId="293" formatCode="* _(##,##0.00_);[Red]* \(##,##0.00\);* _(&quot;-&quot;?_);_(@_)"/>
    <numFmt numFmtId="294" formatCode="_-[$$-409]* #,##0.00_ ;_-[$$-409]* \-#,##0.00\ ;_-[$$-409]* &quot;-&quot;??_ ;_-@_ "/>
    <numFmt numFmtId="295" formatCode="_-[$$-409]* #,##0_ ;_-[$$-409]* \-#,##0\ ;_-[$$-409]* &quot;-&quot;??_ ;_-@_ "/>
    <numFmt numFmtId="296" formatCode="yyyy\-mm\-dd"/>
    <numFmt numFmtId="297" formatCode="#,##0;[Red]\(#,##0\)"/>
    <numFmt numFmtId="298" formatCode="_([$$-409]* #,##0.00_);_([$$-409]* \(#,##0.00\);_([$$-409]* &quot;-&quot;??_);_(@_)"/>
    <numFmt numFmtId="299" formatCode="_([$$-409]* #,##0_);_([$$-409]* \(#,##0\);_([$$-409]* &quot;-&quot;??_);_(@_)"/>
    <numFmt numFmtId="300" formatCode="* _(##,##0.0_);* \(##,##0.0\);* _(&quot;-&quot;?_);_(@_)"/>
    <numFmt numFmtId="301" formatCode="* _(##,##0_);* \(##,##0\);* _(&quot;-&quot;?_);_(@_)"/>
    <numFmt numFmtId="302" formatCode="_(* #,##0_);_(* \(#,##0\);_(* &quot;-&quot;?_);_(@_)"/>
    <numFmt numFmtId="303" formatCode="&quot;$&quot;#,##0.0"/>
    <numFmt numFmtId="304" formatCode="_(&quot;$&quot;* #,##0.0_);_(&quot;$&quot;* \(#,##0.0\);_(&quot;$&quot;* &quot;-&quot;?_);_(@_)"/>
  </numFmts>
  <fonts count="287">
    <font>
      <sz val="10"/>
      <name val="Arial"/>
    </font>
    <font>
      <sz val="11"/>
      <color theme="1"/>
      <name val="Calibri"/>
      <family val="2"/>
      <scheme val="minor"/>
    </font>
    <font>
      <sz val="10"/>
      <name val="Arial"/>
      <family val="2"/>
    </font>
    <font>
      <sz val="8"/>
      <name val="Arial"/>
      <family val="2"/>
    </font>
    <font>
      <b/>
      <sz val="10"/>
      <name val="Arial"/>
      <family val="2"/>
    </font>
    <font>
      <i/>
      <sz val="10"/>
      <color indexed="8"/>
      <name val="Arial"/>
      <family val="2"/>
    </font>
    <font>
      <sz val="10"/>
      <color indexed="8"/>
      <name val="Arial"/>
      <family val="2"/>
    </font>
    <font>
      <sz val="10"/>
      <color indexed="0"/>
      <name val="Arial"/>
      <family val="2"/>
    </font>
    <font>
      <b/>
      <sz val="10"/>
      <color indexed="8"/>
      <name val="Arial"/>
      <family val="2"/>
    </font>
    <font>
      <sz val="10"/>
      <color indexed="12"/>
      <name val="Arial"/>
      <family val="2"/>
    </font>
    <font>
      <i/>
      <sz val="10"/>
      <name val="Arial"/>
      <family val="2"/>
    </font>
    <font>
      <sz val="10"/>
      <name val="Arial"/>
      <family val="2"/>
    </font>
    <font>
      <b/>
      <sz val="8"/>
      <name val="Arial"/>
      <family val="2"/>
    </font>
    <font>
      <b/>
      <sz val="12"/>
      <name val="Arial"/>
      <family val="2"/>
    </font>
    <font>
      <sz val="9"/>
      <color indexed="0"/>
      <name val="Helvetica"/>
    </font>
    <font>
      <sz val="8"/>
      <name val="Helvetica"/>
    </font>
    <font>
      <u val="singleAccounting"/>
      <sz val="10"/>
      <name val="Arial"/>
      <family val="2"/>
    </font>
    <font>
      <b/>
      <i/>
      <sz val="10"/>
      <name val="Arial"/>
      <family val="2"/>
    </font>
    <font>
      <b/>
      <i/>
      <sz val="10"/>
      <color indexed="8"/>
      <name val="Arial"/>
      <family val="2"/>
    </font>
    <font>
      <b/>
      <sz val="10"/>
      <color indexed="12"/>
      <name val="Arial"/>
      <family val="2"/>
    </font>
    <font>
      <sz val="10"/>
      <color indexed="10"/>
      <name val="Arial"/>
      <family val="2"/>
    </font>
    <font>
      <i/>
      <sz val="10"/>
      <color indexed="0"/>
      <name val="Arial"/>
      <family val="2"/>
    </font>
    <font>
      <sz val="10"/>
      <name val="Arial Narrow"/>
      <family val="2"/>
    </font>
    <font>
      <sz val="10"/>
      <name val="Times New Roman"/>
      <family val="1"/>
    </font>
    <font>
      <sz val="11"/>
      <name val="Arial"/>
      <family val="2"/>
    </font>
    <font>
      <sz val="9"/>
      <name val="Times New Roman"/>
      <family val="1"/>
    </font>
    <font>
      <sz val="10"/>
      <name val="Courier"/>
    </font>
    <font>
      <sz val="8"/>
      <name val="Arial"/>
      <family val="2"/>
    </font>
    <font>
      <sz val="8"/>
      <color indexed="12"/>
      <name val="Arial"/>
      <family val="2"/>
    </font>
    <font>
      <i/>
      <sz val="8"/>
      <color indexed="16"/>
      <name val="Arial"/>
      <family val="2"/>
    </font>
    <font>
      <i/>
      <sz val="8"/>
      <color indexed="54"/>
      <name val="Arial"/>
      <family val="2"/>
    </font>
    <font>
      <i/>
      <sz val="9"/>
      <color indexed="16"/>
      <name val="Arial"/>
      <family val="2"/>
    </font>
    <font>
      <b/>
      <sz val="11"/>
      <name val="Arial"/>
      <family val="2"/>
    </font>
    <font>
      <b/>
      <sz val="9"/>
      <name val="Arial"/>
      <family val="2"/>
    </font>
    <font>
      <sz val="9"/>
      <name val="Arial"/>
      <family val="2"/>
    </font>
    <font>
      <sz val="9"/>
      <color indexed="12"/>
      <name val="Times New Roman"/>
      <family val="1"/>
    </font>
    <font>
      <sz val="12"/>
      <name val="Arial"/>
      <family val="2"/>
    </font>
    <font>
      <sz val="8"/>
      <color indexed="12"/>
      <name val="Tms Rmn"/>
    </font>
    <font>
      <sz val="8"/>
      <name val="Wingdings"/>
      <charset val="2"/>
    </font>
    <font>
      <b/>
      <i/>
      <sz val="9"/>
      <name val="Arial"/>
      <family val="2"/>
    </font>
    <font>
      <sz val="8"/>
      <name val="Times New Roman"/>
      <family val="1"/>
    </font>
    <font>
      <b/>
      <i/>
      <sz val="8"/>
      <name val="Arial"/>
      <family val="2"/>
    </font>
    <font>
      <sz val="12"/>
      <name val="Tms Rmn"/>
    </font>
    <font>
      <sz val="8"/>
      <name val="Palatino"/>
      <family val="1"/>
    </font>
    <font>
      <sz val="10"/>
      <name val="Book Antiqua"/>
      <family val="1"/>
    </font>
    <font>
      <sz val="11"/>
      <color indexed="12"/>
      <name val="Book Antiqua"/>
      <family val="1"/>
    </font>
    <font>
      <sz val="8"/>
      <name val="Palatino"/>
    </font>
    <font>
      <sz val="12"/>
      <name val="TimesNewRomanPS"/>
    </font>
    <font>
      <u/>
      <sz val="8"/>
      <color indexed="12"/>
      <name val="Times New Roman"/>
      <family val="1"/>
    </font>
    <font>
      <sz val="8"/>
      <color indexed="12"/>
      <name val="Times New Roman"/>
      <family val="1"/>
    </font>
    <font>
      <u val="doubleAccounting"/>
      <sz val="10"/>
      <name val="Arial"/>
      <family val="2"/>
    </font>
    <font>
      <sz val="10"/>
      <color indexed="12"/>
      <name val="Arial Narrow"/>
      <family val="2"/>
    </font>
    <font>
      <sz val="7"/>
      <name val="Palatino"/>
      <family val="1"/>
    </font>
    <font>
      <sz val="7"/>
      <name val="Arial"/>
      <family val="2"/>
    </font>
    <font>
      <sz val="10"/>
      <color indexed="12"/>
      <name val="Arial"/>
      <family val="2"/>
    </font>
    <font>
      <b/>
      <i/>
      <sz val="16"/>
      <name val="Helv"/>
    </font>
    <font>
      <b/>
      <sz val="8"/>
      <name val="Arial"/>
      <family val="2"/>
    </font>
    <font>
      <sz val="12"/>
      <name val="Times New Roman"/>
      <family val="1"/>
    </font>
    <font>
      <b/>
      <sz val="13"/>
      <color indexed="8"/>
      <name val="Verdana"/>
      <family val="2"/>
    </font>
    <font>
      <b/>
      <sz val="8"/>
      <color indexed="9"/>
      <name val="Verdana"/>
      <family val="2"/>
    </font>
    <font>
      <b/>
      <sz val="8"/>
      <color indexed="8"/>
      <name val="Arial"/>
      <family val="2"/>
    </font>
    <font>
      <sz val="8"/>
      <color indexed="8"/>
      <name val="Arial"/>
      <family val="2"/>
    </font>
    <font>
      <i/>
      <sz val="8"/>
      <color indexed="8"/>
      <name val="Arial"/>
      <family val="2"/>
    </font>
    <font>
      <sz val="2"/>
      <color indexed="9"/>
      <name val="Symbol"/>
      <family val="1"/>
      <charset val="2"/>
    </font>
    <font>
      <sz val="8"/>
      <color indexed="39"/>
      <name val="Arial"/>
      <family val="2"/>
    </font>
    <font>
      <b/>
      <sz val="10"/>
      <name val="Arial"/>
      <family val="2"/>
    </font>
    <font>
      <sz val="12"/>
      <name val="Times New Roman"/>
      <family val="1"/>
    </font>
    <font>
      <sz val="10"/>
      <color indexed="12"/>
      <name val="Times New Roman"/>
      <family val="1"/>
    </font>
    <font>
      <sz val="9"/>
      <color indexed="0"/>
      <name val="Arial"/>
      <family val="2"/>
    </font>
    <font>
      <sz val="10"/>
      <name val="Times New Roman"/>
      <family val="1"/>
    </font>
    <font>
      <b/>
      <sz val="10"/>
      <color indexed="0"/>
      <name val="Arial"/>
      <family val="2"/>
    </font>
    <font>
      <b/>
      <sz val="10"/>
      <name val="Arial Narrow"/>
      <family val="2"/>
    </font>
    <font>
      <sz val="10"/>
      <name val="Arial"/>
      <family val="2"/>
    </font>
    <font>
      <sz val="8"/>
      <name val="Times New Roman"/>
      <family val="1"/>
    </font>
    <font>
      <b/>
      <sz val="26"/>
      <name val="Times New Roman"/>
      <family val="1"/>
    </font>
    <font>
      <b/>
      <sz val="18"/>
      <name val="Times New Roman"/>
      <family val="1"/>
    </font>
    <font>
      <sz val="9"/>
      <color indexed="8"/>
      <name val="Arial"/>
      <family val="2"/>
    </font>
    <font>
      <sz val="9"/>
      <color indexed="9"/>
      <name val="Helvetica"/>
    </font>
    <font>
      <sz val="9"/>
      <color indexed="9"/>
      <name val="Arial"/>
      <family val="2"/>
    </font>
    <font>
      <i/>
      <sz val="10"/>
      <color indexed="9"/>
      <name val="Arial"/>
      <family val="2"/>
    </font>
    <font>
      <sz val="10"/>
      <color indexed="9"/>
      <name val="Arial"/>
      <family val="2"/>
    </font>
    <font>
      <sz val="10"/>
      <color indexed="51"/>
      <name val="Arial"/>
      <family val="2"/>
    </font>
    <font>
      <b/>
      <sz val="10"/>
      <color indexed="9"/>
      <name val="Arial"/>
      <family val="2"/>
    </font>
    <font>
      <sz val="10"/>
      <color indexed="0"/>
      <name val="Helvetica"/>
    </font>
    <font>
      <u val="singleAccounting"/>
      <sz val="10"/>
      <color indexed="9"/>
      <name val="Arial"/>
      <family val="2"/>
    </font>
    <font>
      <b/>
      <sz val="22"/>
      <color indexed="18"/>
      <name val="Arial"/>
      <family val="2"/>
    </font>
    <font>
      <b/>
      <sz val="10"/>
      <color indexed="18"/>
      <name val="Arial"/>
      <family val="2"/>
    </font>
    <font>
      <b/>
      <u val="singleAccounting"/>
      <sz val="10"/>
      <color indexed="18"/>
      <name val="Arial"/>
      <family val="2"/>
    </font>
    <font>
      <sz val="14"/>
      <name val="Tms Rmn"/>
    </font>
    <font>
      <sz val="10"/>
      <name val="Univers Condensed"/>
      <family val="2"/>
    </font>
    <font>
      <b/>
      <sz val="10"/>
      <name val="MS Sans Serif"/>
      <family val="2"/>
    </font>
    <font>
      <sz val="9"/>
      <name val="AGaramond"/>
    </font>
    <font>
      <b/>
      <sz val="10"/>
      <color indexed="39"/>
      <name val="Arial"/>
      <family val="2"/>
    </font>
    <font>
      <sz val="10"/>
      <name val="MS Sans Serif"/>
    </font>
    <font>
      <sz val="9"/>
      <name val="Arial Narrow"/>
      <family val="2"/>
    </font>
    <font>
      <sz val="9"/>
      <name val="GillSans"/>
    </font>
    <font>
      <sz val="9"/>
      <name val="GillSans Light"/>
    </font>
    <font>
      <b/>
      <sz val="12"/>
      <name val="Arial"/>
      <family val="2"/>
    </font>
    <font>
      <sz val="26"/>
      <name val="Arial"/>
      <family val="2"/>
    </font>
    <font>
      <sz val="48"/>
      <name val="Arial"/>
      <family val="2"/>
    </font>
    <font>
      <b/>
      <sz val="100"/>
      <name val="Arial"/>
      <family val="2"/>
    </font>
    <font>
      <sz val="12"/>
      <color indexed="14"/>
      <name val="Arial"/>
      <family val="2"/>
    </font>
    <font>
      <b/>
      <sz val="10"/>
      <name val="MS Sans Serif"/>
    </font>
    <font>
      <b/>
      <sz val="18"/>
      <name val="Arial"/>
      <family val="2"/>
    </font>
    <font>
      <b/>
      <i/>
      <sz val="14"/>
      <name val="Arial"/>
      <family val="2"/>
    </font>
    <font>
      <b/>
      <sz val="24"/>
      <name val="Arial"/>
      <family val="2"/>
    </font>
    <font>
      <sz val="12"/>
      <color indexed="12"/>
      <name val="Arial MT"/>
    </font>
    <font>
      <sz val="10"/>
      <name val="MS Sans Serif"/>
      <family val="2"/>
    </font>
    <font>
      <b/>
      <sz val="16"/>
      <color indexed="9"/>
      <name val="Arial"/>
      <family val="2"/>
    </font>
    <font>
      <b/>
      <sz val="14"/>
      <color indexed="9"/>
      <name val="Arial"/>
      <family val="2"/>
    </font>
    <font>
      <b/>
      <sz val="18"/>
      <color indexed="9"/>
      <name val="Arial"/>
      <family val="2"/>
    </font>
    <font>
      <sz val="10"/>
      <name val="Arial"/>
      <family val="2"/>
    </font>
    <font>
      <b/>
      <sz val="12"/>
      <color indexed="9"/>
      <name val="Arial"/>
      <family val="2"/>
    </font>
    <font>
      <sz val="10"/>
      <name val="Arial"/>
      <family val="2"/>
    </font>
    <font>
      <sz val="10"/>
      <color indexed="18"/>
      <name val="Arial"/>
      <family val="2"/>
    </font>
    <font>
      <b/>
      <sz val="10"/>
      <color indexed="9"/>
      <name val="Arial"/>
      <family val="2"/>
    </font>
    <font>
      <sz val="10"/>
      <color indexed="8"/>
      <name val="Arial"/>
      <family val="2"/>
    </font>
    <font>
      <b/>
      <sz val="10"/>
      <color indexed="18"/>
      <name val="Arial"/>
      <family val="2"/>
    </font>
    <font>
      <sz val="10"/>
      <color indexed="8"/>
      <name val="Times New Roman"/>
      <family val="1"/>
    </font>
    <font>
      <sz val="11"/>
      <color indexed="8"/>
      <name val="Calibri"/>
      <family val="2"/>
    </font>
    <font>
      <sz val="11"/>
      <color indexed="9"/>
      <name val="Calibri"/>
      <family val="2"/>
    </font>
    <font>
      <sz val="8"/>
      <color indexed="12"/>
      <name val="Helv"/>
    </font>
    <font>
      <sz val="10"/>
      <name val="Geneva"/>
    </font>
    <font>
      <sz val="10"/>
      <name val="Arial Narrow"/>
      <family val="2"/>
    </font>
    <font>
      <sz val="11"/>
      <color indexed="20"/>
      <name val="Calibri"/>
      <family val="2"/>
    </font>
    <font>
      <b/>
      <sz val="11"/>
      <color indexed="52"/>
      <name val="Calibri"/>
      <family val="2"/>
    </font>
    <font>
      <b/>
      <sz val="11"/>
      <color indexed="9"/>
      <name val="Calibri"/>
      <family val="2"/>
    </font>
    <font>
      <b/>
      <u val="singleAccounting"/>
      <sz val="8"/>
      <color indexed="8"/>
      <name val="Arial"/>
      <family val="2"/>
    </font>
    <font>
      <sz val="11"/>
      <name val="Tms Rmn"/>
    </font>
    <font>
      <sz val="10"/>
      <color indexed="39"/>
      <name val="Century Schoolbook"/>
      <family val="1"/>
    </font>
    <font>
      <sz val="10"/>
      <color indexed="38"/>
      <name val="Arial"/>
      <family val="2"/>
    </font>
    <font>
      <i/>
      <sz val="11"/>
      <color indexed="23"/>
      <name val="Calibri"/>
      <family val="2"/>
    </font>
    <font>
      <sz val="11"/>
      <color indexed="17"/>
      <name val="Calibri"/>
      <family val="2"/>
    </font>
    <font>
      <b/>
      <sz val="14"/>
      <name val="Arial"/>
      <family val="2"/>
    </font>
    <font>
      <b/>
      <sz val="15"/>
      <color indexed="56"/>
      <name val="Calibri"/>
      <family val="2"/>
    </font>
    <font>
      <b/>
      <sz val="11"/>
      <color indexed="56"/>
      <name val="Calibri"/>
      <family val="2"/>
    </font>
    <font>
      <sz val="1"/>
      <color indexed="9"/>
      <name val="Symbol"/>
      <family val="1"/>
      <charset val="2"/>
    </font>
    <font>
      <sz val="11"/>
      <color indexed="52"/>
      <name val="Calibri"/>
      <family val="2"/>
    </font>
    <font>
      <sz val="8"/>
      <color indexed="8"/>
      <name val="Helv"/>
    </font>
    <font>
      <sz val="11"/>
      <color indexed="60"/>
      <name val="Calibri"/>
      <family val="2"/>
    </font>
    <font>
      <b/>
      <u val="singleAccounting"/>
      <sz val="8"/>
      <color indexed="8"/>
      <name val="Verdana"/>
      <family val="2"/>
    </font>
    <font>
      <b/>
      <sz val="12"/>
      <color indexed="8"/>
      <name val="Verdana"/>
      <family val="2"/>
    </font>
    <font>
      <i/>
      <sz val="10"/>
      <name val="Helv"/>
    </font>
    <font>
      <b/>
      <sz val="10"/>
      <color indexed="72"/>
      <name val="Arial"/>
      <family val="2"/>
    </font>
    <font>
      <b/>
      <sz val="11"/>
      <color indexed="63"/>
      <name val="Calibri"/>
      <family val="2"/>
    </font>
    <font>
      <sz val="12"/>
      <color indexed="12"/>
      <name val="Arial"/>
      <family val="2"/>
    </font>
    <font>
      <sz val="22"/>
      <name val="UBSHeadline"/>
      <family val="1"/>
    </font>
    <font>
      <b/>
      <sz val="14"/>
      <name val="Times New Roman"/>
      <family val="1"/>
    </font>
    <font>
      <sz val="10"/>
      <color indexed="10"/>
      <name val="MS Sans Serif"/>
    </font>
    <font>
      <sz val="8"/>
      <name val="Univers"/>
      <family val="2"/>
    </font>
    <font>
      <vertAlign val="subscript"/>
      <sz val="8"/>
      <color indexed="8"/>
      <name val="Arial"/>
      <family val="2"/>
    </font>
    <font>
      <i/>
      <sz val="12"/>
      <color indexed="12"/>
      <name val="Times New Roman"/>
      <family val="1"/>
    </font>
    <font>
      <vertAlign val="superscript"/>
      <sz val="8"/>
      <color indexed="8"/>
      <name val="Arial"/>
      <family val="2"/>
    </font>
    <font>
      <b/>
      <sz val="11"/>
      <name val="Times New Roman"/>
      <family val="1"/>
    </font>
    <font>
      <b/>
      <sz val="18"/>
      <color indexed="56"/>
      <name val="Cambria"/>
      <family val="2"/>
    </font>
    <font>
      <sz val="8"/>
      <name val="Helv"/>
    </font>
    <font>
      <b/>
      <sz val="11"/>
      <color indexed="8"/>
      <name val="Calibri"/>
      <family val="2"/>
    </font>
    <font>
      <sz val="11"/>
      <color indexed="10"/>
      <name val="Calibri"/>
      <family val="2"/>
    </font>
    <font>
      <b/>
      <i/>
      <sz val="12"/>
      <name val="Times New Roman"/>
      <family val="1"/>
    </font>
    <font>
      <sz val="10"/>
      <color indexed="8"/>
      <name val="MS Sans Serif"/>
    </font>
    <font>
      <sz val="10"/>
      <name val="Geneva"/>
      <family val="2"/>
    </font>
    <font>
      <sz val="10"/>
      <name val="GillSans"/>
    </font>
    <font>
      <sz val="10"/>
      <name val="Palatino"/>
    </font>
    <font>
      <sz val="10"/>
      <name val="Palatino"/>
      <family val="1"/>
    </font>
    <font>
      <sz val="8"/>
      <name val="MS Serif"/>
      <family val="1"/>
    </font>
    <font>
      <sz val="8"/>
      <color indexed="49"/>
      <name val="Times New Roman"/>
      <family val="1"/>
    </font>
    <font>
      <u/>
      <sz val="8.4"/>
      <color indexed="12"/>
      <name val="Arial"/>
      <family val="2"/>
    </font>
    <font>
      <sz val="12"/>
      <name val="???"/>
      <family val="1"/>
      <charset val="129"/>
    </font>
    <font>
      <sz val="11"/>
      <name val="Arial"/>
      <family val="2"/>
    </font>
    <font>
      <sz val="12"/>
      <name val="Arial"/>
      <family val="2"/>
    </font>
    <font>
      <sz val="10"/>
      <name val="SWISS"/>
    </font>
    <font>
      <sz val="9"/>
      <name val="Arial"/>
      <family val="2"/>
    </font>
    <font>
      <b/>
      <sz val="22"/>
      <color indexed="18"/>
      <name val="Arial"/>
      <family val="2"/>
    </font>
    <font>
      <b/>
      <sz val="14"/>
      <color indexed="18"/>
      <name val="Arial"/>
      <family val="2"/>
    </font>
    <font>
      <b/>
      <sz val="14"/>
      <color indexed="18"/>
      <name val="Arial"/>
      <family val="2"/>
    </font>
    <font>
      <sz val="9"/>
      <color indexed="8"/>
      <name val="Arial"/>
      <family val="2"/>
    </font>
    <font>
      <b/>
      <sz val="9"/>
      <color indexed="18"/>
      <name val="Arial"/>
      <family val="2"/>
    </font>
    <font>
      <b/>
      <u val="singleAccounting"/>
      <sz val="10"/>
      <color indexed="18"/>
      <name val="Arial"/>
      <family val="2"/>
    </font>
    <font>
      <b/>
      <u val="singleAccounting"/>
      <sz val="9"/>
      <color indexed="18"/>
      <name val="Arial"/>
      <family val="2"/>
    </font>
    <font>
      <sz val="14"/>
      <name val="AngsanaUPC"/>
      <family val="1"/>
      <charset val="222"/>
    </font>
    <font>
      <sz val="8"/>
      <name val="Helvetica"/>
      <family val="2"/>
    </font>
    <font>
      <sz val="12"/>
      <name val="Arial MT"/>
    </font>
    <font>
      <b/>
      <sz val="7"/>
      <name val="Arial"/>
      <family val="2"/>
    </font>
    <font>
      <i/>
      <sz val="8"/>
      <name val="Arial"/>
      <family val="2"/>
    </font>
    <font>
      <sz val="7"/>
      <name val="Ariel"/>
    </font>
    <font>
      <sz val="10"/>
      <color indexed="10"/>
      <name val="Times New Roman"/>
      <family val="1"/>
    </font>
    <font>
      <sz val="8"/>
      <color indexed="13"/>
      <name val="Arial"/>
      <family val="2"/>
    </font>
    <font>
      <sz val="10"/>
      <color indexed="8"/>
      <name val="Tms Rmn"/>
    </font>
    <font>
      <sz val="8"/>
      <color indexed="8"/>
      <name val="Arial"/>
      <family val="2"/>
    </font>
    <font>
      <sz val="10"/>
      <color indexed="8"/>
      <name val="Times New Roman"/>
      <family val="1"/>
    </font>
    <font>
      <sz val="9"/>
      <color indexed="9"/>
      <name val="Times New Roman"/>
      <family val="1"/>
    </font>
    <font>
      <b/>
      <sz val="10"/>
      <name val="Times New Roman"/>
      <family val="1"/>
    </font>
    <font>
      <sz val="9"/>
      <color indexed="18"/>
      <name val="CharterITC BT"/>
      <family val="1"/>
    </font>
    <font>
      <sz val="10"/>
      <color indexed="12"/>
      <name val="Times New Roman"/>
      <family val="1"/>
    </font>
    <font>
      <sz val="9"/>
      <color indexed="12"/>
      <name val="Tms Rmn"/>
    </font>
    <font>
      <b/>
      <sz val="8"/>
      <name val="Arial Narrow"/>
      <family val="2"/>
    </font>
    <font>
      <b/>
      <sz val="12"/>
      <name val="Times New Roman"/>
      <family val="1"/>
    </font>
    <font>
      <sz val="8"/>
      <name val="Arial Narrow"/>
      <family val="2"/>
    </font>
    <font>
      <b/>
      <sz val="8"/>
      <name val="Arial Narrow"/>
      <family val="2"/>
    </font>
    <font>
      <b/>
      <sz val="8"/>
      <name val="TimesNewRomanPS"/>
      <family val="1"/>
    </font>
    <font>
      <sz val="11"/>
      <name val="?? ?????"/>
      <family val="3"/>
      <charset val="128"/>
    </font>
    <font>
      <sz val="11"/>
      <name val="Book Antiqua"/>
      <family val="1"/>
    </font>
    <font>
      <b/>
      <sz val="10"/>
      <name val="Helv"/>
      <family val="2"/>
    </font>
    <font>
      <b/>
      <sz val="10"/>
      <name val="MS Serif"/>
      <family val="1"/>
    </font>
    <font>
      <sz val="10"/>
      <color indexed="18"/>
      <name val="Times New Roman"/>
      <family val="1"/>
    </font>
    <font>
      <b/>
      <sz val="8"/>
      <name val="Book Antiqua"/>
      <family val="1"/>
    </font>
    <font>
      <b/>
      <sz val="8"/>
      <name val="GillSans"/>
    </font>
    <font>
      <sz val="10"/>
      <name val="Helv"/>
    </font>
    <font>
      <sz val="8"/>
      <color indexed="12"/>
      <name val="Times New Roman"/>
      <family val="1"/>
    </font>
    <font>
      <sz val="8"/>
      <color indexed="21"/>
      <name val="Palatino"/>
    </font>
    <font>
      <sz val="10"/>
      <color indexed="24"/>
      <name val="Arial"/>
      <family val="2"/>
    </font>
    <font>
      <sz val="10"/>
      <name val="BERNHARD"/>
    </font>
    <font>
      <i/>
      <sz val="9"/>
      <name val="MS Sans Serif"/>
    </font>
    <font>
      <sz val="24"/>
      <name val="Arial"/>
      <family val="2"/>
    </font>
    <font>
      <b/>
      <sz val="14"/>
      <name val="Arial"/>
      <family val="2"/>
    </font>
    <font>
      <b/>
      <sz val="11"/>
      <name val="Times New Roman"/>
      <family val="1"/>
    </font>
    <font>
      <sz val="10"/>
      <name val="MS Serif"/>
    </font>
    <font>
      <sz val="14"/>
      <name val="Palatino"/>
      <family val="1"/>
    </font>
    <font>
      <sz val="16"/>
      <name val="Palatino"/>
      <family val="1"/>
    </font>
    <font>
      <sz val="32"/>
      <name val="Helvetica-Black"/>
    </font>
    <font>
      <sz val="8"/>
      <color indexed="8"/>
      <name val="Times New Roman"/>
      <family val="1"/>
    </font>
    <font>
      <sz val="8"/>
      <color indexed="16"/>
      <name val="Palatino"/>
      <family val="1"/>
    </font>
    <font>
      <b/>
      <sz val="7.5"/>
      <color indexed="8"/>
      <name val="Arial"/>
      <family val="2"/>
    </font>
    <font>
      <sz val="8"/>
      <color indexed="18"/>
      <name val="Times New Roman"/>
      <family val="1"/>
    </font>
    <font>
      <u val="doubleAccounting"/>
      <sz val="10"/>
      <name val="Times New Roman"/>
      <family val="1"/>
    </font>
    <font>
      <sz val="8"/>
      <name val="Arial Narrow"/>
      <family val="2"/>
    </font>
    <font>
      <sz val="1"/>
      <color indexed="8"/>
      <name val="Courier"/>
    </font>
    <font>
      <b/>
      <sz val="8"/>
      <name val="Times New Roman"/>
      <family val="1"/>
    </font>
    <font>
      <sz val="9"/>
      <color indexed="12"/>
      <name val="Times New Roman"/>
      <family val="1"/>
    </font>
    <font>
      <b/>
      <i/>
      <sz val="8"/>
      <color indexed="12"/>
      <name val="Arial"/>
      <family val="2"/>
    </font>
    <font>
      <sz val="10"/>
      <color indexed="16"/>
      <name val="MS Serif"/>
    </font>
    <font>
      <b/>
      <sz val="9.5"/>
      <color indexed="10"/>
      <name val="MS Sans Serif"/>
      <family val="2"/>
    </font>
    <font>
      <b/>
      <u/>
      <sz val="12"/>
      <name val="Arial Narrow"/>
      <family val="2"/>
    </font>
    <font>
      <i/>
      <sz val="10"/>
      <color indexed="10"/>
      <name val="Times New Roman"/>
      <family val="1"/>
    </font>
    <font>
      <b/>
      <sz val="7"/>
      <color indexed="12"/>
      <name val="Arial"/>
      <family val="2"/>
    </font>
    <font>
      <sz val="14"/>
      <color indexed="32"/>
      <name val="Times New Roman"/>
      <family val="1"/>
    </font>
    <font>
      <sz val="10"/>
      <name val="Arial"/>
      <family val="2"/>
    </font>
    <font>
      <sz val="6"/>
      <color indexed="23"/>
      <name val="Helvetica-Black"/>
    </font>
    <font>
      <sz val="9.5"/>
      <color indexed="23"/>
      <name val="Helvetica-Black"/>
    </font>
    <font>
      <u val="singleAccounting"/>
      <sz val="8"/>
      <name val="Arial"/>
      <family val="2"/>
    </font>
    <font>
      <u val="singleAccounting"/>
      <sz val="9"/>
      <color indexed="12"/>
      <name val="Arial"/>
      <family val="2"/>
    </font>
    <font>
      <sz val="10"/>
      <name val="C Helvetica Condensed"/>
    </font>
    <font>
      <sz val="9"/>
      <name val="Tms Rmn"/>
    </font>
    <font>
      <b/>
      <i/>
      <sz val="8"/>
      <name val="Arial Narrow"/>
      <family val="2"/>
    </font>
    <font>
      <b/>
      <sz val="10"/>
      <color indexed="17"/>
      <name val="Helvetica"/>
    </font>
    <font>
      <sz val="7"/>
      <name val="Times New Roman"/>
      <family val="1"/>
    </font>
    <font>
      <b/>
      <sz val="7"/>
      <color indexed="17"/>
      <name val="Arial"/>
      <family val="2"/>
    </font>
    <font>
      <sz val="9"/>
      <name val="Futura UBS Bk"/>
      <family val="2"/>
    </font>
    <font>
      <b/>
      <sz val="10"/>
      <color indexed="9"/>
      <name val="GillSans"/>
    </font>
    <font>
      <b/>
      <i/>
      <sz val="12"/>
      <name val="Tms Rmn"/>
    </font>
    <font>
      <b/>
      <sz val="10"/>
      <color indexed="8"/>
      <name val="GillSans"/>
    </font>
    <font>
      <sz val="6"/>
      <name val="Palatino"/>
      <family val="1"/>
    </font>
    <font>
      <b/>
      <sz val="8"/>
      <name val="Palatino"/>
    </font>
    <font>
      <b/>
      <sz val="8"/>
      <name val="Helv"/>
    </font>
    <font>
      <sz val="28"/>
      <name val="Helvetica-Black"/>
    </font>
    <font>
      <sz val="10"/>
      <name val="Helvetica-Black"/>
    </font>
    <font>
      <sz val="10"/>
      <name val="Arial"/>
      <family val="2"/>
    </font>
    <font>
      <b/>
      <sz val="9"/>
      <color indexed="0"/>
      <name val="Arial"/>
      <family val="2"/>
    </font>
    <font>
      <b/>
      <sz val="20"/>
      <color indexed="9"/>
      <name val="Arial"/>
      <family val="2"/>
    </font>
    <font>
      <sz val="48"/>
      <name val="Franklin Gothic Medium Cond"/>
      <family val="2"/>
    </font>
    <font>
      <i/>
      <sz val="26"/>
      <name val="Garamond"/>
      <family val="1"/>
    </font>
    <font>
      <sz val="24"/>
      <name val="Franklin Gothic Medium Cond"/>
      <family val="2"/>
    </font>
    <font>
      <sz val="18"/>
      <name val="Garamond"/>
      <family val="1"/>
    </font>
    <font>
      <i/>
      <sz val="10"/>
      <color indexed="12"/>
      <name val="Arial"/>
      <family val="2"/>
    </font>
    <font>
      <sz val="10"/>
      <name val="Arial"/>
      <family val="2"/>
    </font>
    <font>
      <b/>
      <i/>
      <sz val="14"/>
      <color rgb="FF000000"/>
      <name val="Open Sans"/>
      <family val="2"/>
    </font>
    <font>
      <sz val="8"/>
      <color rgb="FF000000"/>
      <name val="Open Sans"/>
      <family val="2"/>
    </font>
    <font>
      <b/>
      <sz val="16"/>
      <color rgb="FF000000"/>
      <name val="Open Sans"/>
      <family val="2"/>
    </font>
    <font>
      <b/>
      <sz val="10"/>
      <color rgb="FF000000"/>
      <name val="Open Sans"/>
      <family val="2"/>
    </font>
    <font>
      <b/>
      <sz val="10"/>
      <color rgb="FF26649E"/>
      <name val="Open Sans"/>
      <family val="2"/>
    </font>
    <font>
      <sz val="8"/>
      <color rgb="FF26649E"/>
      <name val="Open Sans"/>
      <family val="2"/>
    </font>
    <font>
      <sz val="10"/>
      <color rgb="FF000000"/>
      <name val="Open Sans"/>
      <family val="2"/>
    </font>
    <font>
      <b/>
      <sz val="12"/>
      <color rgb="FF0070C0"/>
      <name val="Arial"/>
      <family val="2"/>
    </font>
    <font>
      <b/>
      <sz val="11"/>
      <color theme="1"/>
      <name val="Calibri"/>
      <family val="2"/>
      <scheme val="minor"/>
    </font>
    <font>
      <b/>
      <sz val="10"/>
      <color rgb="FF000000"/>
      <name val="Arial"/>
      <family val="2"/>
    </font>
    <font>
      <sz val="10"/>
      <color rgb="FF000000"/>
      <name val="Arial"/>
      <family val="2"/>
    </font>
    <font>
      <sz val="11"/>
      <color rgb="FF242424"/>
      <name val="Aptos Narrow"/>
    </font>
    <font>
      <b/>
      <sz val="12"/>
      <color rgb="FF000000"/>
      <name val="Arial"/>
      <family val="2"/>
    </font>
    <font>
      <u/>
      <sz val="10"/>
      <color theme="10"/>
      <name val="Arial"/>
    </font>
    <font>
      <b/>
      <sz val="10"/>
      <color rgb="FF000000"/>
      <name val="Arial"/>
    </font>
    <font>
      <b/>
      <sz val="12"/>
      <color rgb="FF000000"/>
      <name val="Arial"/>
    </font>
    <font>
      <b/>
      <sz val="10"/>
      <name val="Arial"/>
    </font>
    <font>
      <sz val="10"/>
      <color rgb="FF000000"/>
      <name val="Times New Roman"/>
      <family val="2"/>
      <charset val="1"/>
    </font>
    <font>
      <sz val="10"/>
      <color rgb="FFFF0000"/>
      <name val="Arial"/>
      <family val="2"/>
    </font>
    <font>
      <sz val="12"/>
      <name val="Times New Roman"/>
      <charset val="1"/>
    </font>
    <font>
      <i/>
      <sz val="12"/>
      <name val="Times New Roman"/>
      <charset val="1"/>
    </font>
    <font>
      <sz val="10"/>
      <color rgb="FF242424"/>
      <name val="Arial"/>
    </font>
  </fonts>
  <fills count="61">
    <fill>
      <patternFill patternType="none"/>
    </fill>
    <fill>
      <patternFill patternType="gray125"/>
    </fill>
    <fill>
      <patternFill patternType="solid">
        <fgColor indexed="22"/>
        <bgColor indexed="22"/>
      </patternFill>
    </fill>
    <fill>
      <patternFill patternType="solid">
        <fgColor indexed="9"/>
      </patternFill>
    </fill>
    <fill>
      <patternFill patternType="solid">
        <fgColor indexed="43"/>
      </patternFill>
    </fill>
    <fill>
      <patternFill patternType="solid">
        <fgColor indexed="36"/>
      </patternFill>
    </fill>
    <fill>
      <patternFill patternType="solid">
        <fgColor indexed="59"/>
      </patternFill>
    </fill>
    <fill>
      <patternFill patternType="solid">
        <fgColor indexed="42"/>
        <bgColor indexed="64"/>
      </patternFill>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49"/>
      </patternFill>
    </fill>
    <fill>
      <patternFill patternType="solid">
        <fgColor indexed="52"/>
      </patternFill>
    </fill>
    <fill>
      <patternFill patternType="solid">
        <fgColor indexed="22"/>
        <bgColor indexed="64"/>
      </patternFill>
    </fill>
    <fill>
      <patternFill patternType="solid">
        <fgColor indexed="18"/>
        <bgColor indexed="64"/>
      </patternFill>
    </fill>
    <fill>
      <patternFill patternType="solid">
        <fgColor indexed="29"/>
        <bgColor indexed="64"/>
      </patternFill>
    </fill>
    <fill>
      <patternFill patternType="solid">
        <fgColor indexed="31"/>
        <bgColor indexed="64"/>
      </patternFill>
    </fill>
    <fill>
      <patternFill patternType="solid">
        <fgColor indexed="43"/>
        <bgColor indexed="64"/>
      </patternFill>
    </fill>
    <fill>
      <patternFill patternType="solid">
        <fgColor indexed="51"/>
        <bgColor indexed="64"/>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gray0625">
        <fgColor indexed="10"/>
        <bgColor indexed="9"/>
      </patternFill>
    </fill>
    <fill>
      <patternFill patternType="solid">
        <fgColor indexed="44"/>
        <bgColor indexed="64"/>
      </patternFill>
    </fill>
    <fill>
      <patternFill patternType="solid">
        <fgColor indexed="22"/>
      </patternFill>
    </fill>
    <fill>
      <patternFill patternType="solid">
        <fgColor indexed="32"/>
        <bgColor indexed="64"/>
      </patternFill>
    </fill>
    <fill>
      <patternFill patternType="solid">
        <fgColor indexed="17"/>
        <bgColor indexed="64"/>
      </patternFill>
    </fill>
    <fill>
      <patternFill patternType="gray0625"/>
    </fill>
    <fill>
      <patternFill patternType="lightGray">
        <fgColor indexed="14"/>
        <bgColor indexed="9"/>
      </patternFill>
    </fill>
    <fill>
      <patternFill patternType="lightGray">
        <fgColor indexed="15"/>
      </patternFill>
    </fill>
    <fill>
      <patternFill patternType="solid">
        <fgColor indexed="55"/>
      </patternFill>
    </fill>
    <fill>
      <patternFill patternType="gray0625">
        <fgColor indexed="15"/>
      </patternFill>
    </fill>
    <fill>
      <patternFill patternType="solid">
        <fgColor indexed="60"/>
        <bgColor indexed="64"/>
      </patternFill>
    </fill>
    <fill>
      <patternFill patternType="lightGray">
        <fgColor indexed="12"/>
      </patternFill>
    </fill>
    <fill>
      <patternFill patternType="solid">
        <fgColor indexed="63"/>
        <bgColor indexed="64"/>
      </patternFill>
    </fill>
    <fill>
      <patternFill patternType="solid">
        <fgColor indexed="15"/>
        <bgColor indexed="64"/>
      </patternFill>
    </fill>
    <fill>
      <patternFill patternType="lightGray">
        <fgColor indexed="12"/>
        <bgColor indexed="9"/>
      </patternFill>
    </fill>
    <fill>
      <patternFill patternType="solid">
        <fgColor indexed="35"/>
        <bgColor indexed="64"/>
      </patternFill>
    </fill>
    <fill>
      <patternFill patternType="solid">
        <fgColor indexed="26"/>
        <bgColor indexed="64"/>
      </patternFill>
    </fill>
    <fill>
      <patternFill patternType="solid">
        <fgColor indexed="47"/>
        <bgColor indexed="64"/>
      </patternFill>
    </fill>
    <fill>
      <patternFill patternType="mediumGray"/>
    </fill>
    <fill>
      <patternFill patternType="solid">
        <fgColor indexed="41"/>
        <bgColor indexed="64"/>
      </patternFill>
    </fill>
    <fill>
      <patternFill patternType="solid">
        <fgColor indexed="62"/>
        <bgColor indexed="64"/>
      </patternFill>
    </fill>
    <fill>
      <patternFill patternType="mediumGray">
        <fgColor indexed="22"/>
      </patternFill>
    </fill>
    <fill>
      <patternFill patternType="solid">
        <fgColor indexed="56"/>
        <bgColor indexed="64"/>
      </patternFill>
    </fill>
    <fill>
      <patternFill patternType="solid">
        <fgColor indexed="16"/>
        <bgColor indexed="64"/>
      </patternFill>
    </fill>
    <fill>
      <patternFill patternType="solid">
        <fgColor indexed="8"/>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tint="-0.14999847407452621"/>
        <bgColor indexed="64"/>
      </patternFill>
    </fill>
    <fill>
      <patternFill patternType="solid">
        <fgColor theme="0"/>
        <bgColor indexed="64"/>
      </patternFill>
    </fill>
  </fills>
  <borders count="73">
    <border>
      <left/>
      <right/>
      <top/>
      <bottom/>
      <diagonal/>
    </border>
    <border>
      <left/>
      <right/>
      <top/>
      <bottom style="double">
        <color indexed="64"/>
      </bottom>
      <diagonal/>
    </border>
    <border>
      <left style="medium">
        <color indexed="64"/>
      </left>
      <right style="medium">
        <color indexed="64"/>
      </right>
      <top style="medium">
        <color indexed="64"/>
      </top>
      <bottom style="medium">
        <color indexed="64"/>
      </bottom>
      <diagonal/>
    </border>
    <border>
      <left/>
      <right/>
      <top/>
      <bottom style="thin">
        <color indexed="64"/>
      </bottom>
      <diagonal/>
    </border>
    <border>
      <left/>
      <right/>
      <top/>
      <bottom style="medium">
        <color indexed="64"/>
      </bottom>
      <diagonal/>
    </border>
    <border>
      <left/>
      <right/>
      <top style="hair">
        <color indexed="8"/>
      </top>
      <bottom style="hair">
        <color indexed="8"/>
      </bottom>
      <diagonal/>
    </border>
    <border>
      <left/>
      <right/>
      <top style="thin">
        <color indexed="8"/>
      </top>
      <bottom style="thin">
        <color indexed="8"/>
      </bottom>
      <diagonal/>
    </border>
    <border>
      <left/>
      <right/>
      <top/>
      <bottom style="medium">
        <color indexed="18"/>
      </bottom>
      <diagonal/>
    </border>
    <border>
      <left/>
      <right/>
      <top/>
      <bottom style="thin">
        <color indexed="8"/>
      </bottom>
      <diagonal/>
    </border>
    <border>
      <left style="hair">
        <color indexed="64"/>
      </left>
      <right style="hair">
        <color indexed="64"/>
      </right>
      <top style="hair">
        <color indexed="64"/>
      </top>
      <bottom style="hair">
        <color indexed="64"/>
      </bottom>
      <diagonal/>
    </border>
    <border>
      <left style="medium">
        <color indexed="64"/>
      </left>
      <right style="medium">
        <color indexed="64"/>
      </right>
      <top/>
      <bottom/>
      <diagonal/>
    </border>
    <border>
      <left/>
      <right/>
      <top style="thin">
        <color indexed="64"/>
      </top>
      <bottom/>
      <diagonal/>
    </border>
    <border>
      <left style="medium">
        <color indexed="64"/>
      </left>
      <right style="medium">
        <color indexed="64"/>
      </right>
      <top/>
      <bottom style="thick">
        <color indexed="37"/>
      </bottom>
      <diagonal/>
    </border>
    <border>
      <left style="double">
        <color indexed="64"/>
      </left>
      <right/>
      <top/>
      <bottom style="hair">
        <color indexed="64"/>
      </bottom>
      <diagonal/>
    </border>
    <border>
      <left/>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style="medium">
        <color indexed="12"/>
      </left>
      <right style="medium">
        <color indexed="12"/>
      </right>
      <top style="medium">
        <color indexed="12"/>
      </top>
      <bottom style="medium">
        <color indexed="12"/>
      </bottom>
      <diagonal/>
    </border>
    <border>
      <left/>
      <right/>
      <top/>
      <bottom style="dotted">
        <color indexed="64"/>
      </bottom>
      <diagonal/>
    </border>
    <border>
      <left style="thin">
        <color indexed="64"/>
      </left>
      <right/>
      <top/>
      <bottom/>
      <diagonal/>
    </border>
    <border>
      <left/>
      <right/>
      <top style="medium">
        <color indexed="64"/>
      </top>
      <bottom/>
      <diagonal/>
    </border>
    <border>
      <left style="thin">
        <color indexed="64"/>
      </left>
      <right/>
      <top style="thin">
        <color indexed="64"/>
      </top>
      <bottom/>
      <diagonal/>
    </border>
    <border>
      <left style="medium">
        <color indexed="9"/>
      </left>
      <right style="medium">
        <color indexed="9"/>
      </right>
      <top style="medium">
        <color indexed="9"/>
      </top>
      <bottom style="medium">
        <color indexed="9"/>
      </bottom>
      <diagonal/>
    </border>
    <border>
      <left style="medium">
        <color indexed="9"/>
      </left>
      <right style="medium">
        <color indexed="9"/>
      </right>
      <top/>
      <bottom/>
      <diagonal/>
    </border>
    <border>
      <left/>
      <right/>
      <top/>
      <bottom style="thin">
        <color indexed="44"/>
      </bottom>
      <diagonal/>
    </border>
    <border>
      <left/>
      <right/>
      <top style="thin">
        <color indexed="8"/>
      </top>
      <bottom/>
      <diagonal/>
    </border>
    <border>
      <left style="thin">
        <color indexed="23"/>
      </left>
      <right style="thin">
        <color indexed="23"/>
      </right>
      <top style="thin">
        <color indexed="23"/>
      </top>
      <bottom style="thin">
        <color indexed="23"/>
      </bottom>
      <diagonal/>
    </border>
    <border>
      <left style="thin">
        <color indexed="64"/>
      </left>
      <right style="thin">
        <color indexed="64"/>
      </right>
      <top style="thin">
        <color indexed="64"/>
      </top>
      <bottom style="thin">
        <color indexed="64"/>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style="thin">
        <color indexed="64"/>
      </top>
      <bottom/>
      <diagonal/>
    </border>
    <border>
      <left/>
      <right style="thin">
        <color indexed="8"/>
      </right>
      <top style="thin">
        <color indexed="8"/>
      </top>
      <bottom/>
      <diagonal/>
    </border>
    <border>
      <left/>
      <right style="thin">
        <color indexed="64"/>
      </right>
      <top/>
      <bottom style="thin">
        <color indexed="64"/>
      </bottom>
      <diagonal/>
    </border>
    <border>
      <left style="dashed">
        <color indexed="64"/>
      </left>
      <right style="dashed">
        <color indexed="64"/>
      </right>
      <top style="dashed">
        <color indexed="64"/>
      </top>
      <bottom style="dashed">
        <color indexed="64"/>
      </bottom>
      <diagonal/>
    </border>
    <border>
      <left/>
      <right/>
      <top/>
      <bottom style="hair">
        <color indexed="64"/>
      </bottom>
      <diagonal/>
    </border>
    <border>
      <left style="thin">
        <color indexed="9"/>
      </left>
      <right style="thin">
        <color indexed="9"/>
      </right>
      <top/>
      <bottom/>
      <diagonal/>
    </border>
    <border>
      <left/>
      <right/>
      <top style="double">
        <color indexed="64"/>
      </top>
      <bottom style="double">
        <color indexed="64"/>
      </bottom>
      <diagonal/>
    </border>
    <border>
      <left/>
      <right/>
      <top style="thin">
        <color indexed="64"/>
      </top>
      <bottom style="double">
        <color indexed="64"/>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top/>
      <bottom style="thick">
        <color indexed="62"/>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bottom style="thick">
        <color indexed="64"/>
      </bottom>
      <diagonal/>
    </border>
    <border>
      <left/>
      <right/>
      <top style="thick">
        <color indexed="64"/>
      </top>
      <bottom style="thin">
        <color indexed="64"/>
      </bottom>
      <diagonal/>
    </border>
    <border>
      <left style="thin">
        <color indexed="8"/>
      </left>
      <right/>
      <top style="thin">
        <color indexed="8"/>
      </top>
      <bottom/>
      <diagonal/>
    </border>
    <border>
      <left/>
      <right/>
      <top style="thin">
        <color indexed="62"/>
      </top>
      <bottom style="double">
        <color indexed="62"/>
      </bottom>
      <diagonal/>
    </border>
    <border>
      <left/>
      <right style="thin">
        <color indexed="64"/>
      </right>
      <top style="thin">
        <color indexed="64"/>
      </top>
      <bottom/>
      <diagonal/>
    </border>
    <border>
      <left/>
      <right style="dotted">
        <color indexed="64"/>
      </right>
      <top/>
      <bottom/>
      <diagonal/>
    </border>
    <border>
      <left/>
      <right style="dotted">
        <color indexed="64"/>
      </right>
      <top/>
      <bottom style="thin">
        <color indexed="64"/>
      </bottom>
      <diagonal/>
    </border>
    <border>
      <left style="dotted">
        <color indexed="64"/>
      </left>
      <right/>
      <top style="thin">
        <color indexed="64"/>
      </top>
      <bottom style="thin">
        <color indexed="64"/>
      </bottom>
      <diagonal/>
    </border>
    <border>
      <left style="dotted">
        <color indexed="64"/>
      </left>
      <right/>
      <top/>
      <bottom/>
      <diagonal/>
    </border>
    <border>
      <left style="dotted">
        <color indexed="64"/>
      </left>
      <right/>
      <top/>
      <bottom style="thin">
        <color indexed="64"/>
      </bottom>
      <diagonal/>
    </border>
    <border>
      <left style="thin">
        <color indexed="64"/>
      </left>
      <right/>
      <top style="thin">
        <color indexed="64"/>
      </top>
      <bottom style="thin">
        <color indexed="64"/>
      </bottom>
      <diagonal/>
    </border>
    <border>
      <left/>
      <right/>
      <top/>
      <bottom style="thin">
        <color indexed="18"/>
      </bottom>
      <diagonal/>
    </border>
    <border>
      <left/>
      <right style="dotted">
        <color indexed="64"/>
      </right>
      <top style="thin">
        <color indexed="64"/>
      </top>
      <bottom/>
      <diagonal/>
    </border>
    <border>
      <left style="dotted">
        <color indexed="64"/>
      </left>
      <right/>
      <top style="thin">
        <color indexed="64"/>
      </top>
      <bottom/>
      <diagonal/>
    </border>
    <border>
      <left style="thin">
        <color indexed="64"/>
      </left>
      <right style="thin">
        <color indexed="64"/>
      </right>
      <top style="thin">
        <color rgb="FF000000"/>
      </top>
      <bottom style="thin">
        <color indexed="64"/>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indexed="64"/>
      </bottom>
      <diagonal/>
    </border>
    <border>
      <left style="thin">
        <color rgb="FF000000"/>
      </left>
      <right/>
      <top/>
      <bottom style="thin">
        <color indexed="64"/>
      </bottom>
      <diagonal/>
    </border>
  </borders>
  <cellStyleXfs count="1731">
    <xf numFmtId="0" fontId="0" fillId="0" borderId="0" applyFill="0" applyBorder="0" applyProtection="0">
      <protection locked="0"/>
    </xf>
    <xf numFmtId="0" fontId="89" fillId="0" borderId="0">
      <alignment vertical="top"/>
    </xf>
    <xf numFmtId="0" fontId="28" fillId="0" borderId="0">
      <alignment horizontal="right"/>
    </xf>
    <xf numFmtId="0" fontId="65" fillId="0" borderId="0" applyNumberFormat="0" applyFill="0" applyBorder="0" applyAlignment="0" applyProtection="0"/>
    <xf numFmtId="0" fontId="90" fillId="0" borderId="0" applyNumberFormat="0" applyFill="0" applyBorder="0" applyAlignment="0" applyProtection="0"/>
    <xf numFmtId="0" fontId="11" fillId="0" borderId="0" applyFill="0" applyBorder="0" applyProtection="0">
      <protection locked="0"/>
    </xf>
    <xf numFmtId="0" fontId="160" fillId="0" borderId="0"/>
    <xf numFmtId="245" fontId="118" fillId="0" borderId="0">
      <alignment horizontal="right"/>
    </xf>
    <xf numFmtId="209" fontId="22" fillId="0" borderId="0" applyFont="0" applyFill="0" applyBorder="0" applyAlignment="0" applyProtection="0"/>
    <xf numFmtId="210" fontId="22" fillId="0" borderId="0" applyFont="0" applyFill="0" applyBorder="0" applyAlignment="0" applyProtection="0"/>
    <xf numFmtId="209" fontId="22" fillId="0" borderId="0" applyFont="0" applyFill="0" applyBorder="0" applyAlignment="0" applyProtection="0"/>
    <xf numFmtId="210" fontId="22" fillId="0" borderId="0" applyFont="0" applyFill="0" applyBorder="0" applyAlignment="0" applyProtection="0"/>
    <xf numFmtId="209" fontId="22" fillId="0" borderId="0" applyFont="0" applyFill="0" applyBorder="0" applyAlignment="0" applyProtection="0"/>
    <xf numFmtId="210" fontId="22" fillId="0" borderId="0" applyFont="0" applyFill="0" applyBorder="0" applyAlignment="0" applyProtection="0"/>
    <xf numFmtId="209" fontId="22" fillId="0" borderId="0" applyFont="0" applyFill="0" applyBorder="0" applyAlignment="0" applyProtection="0"/>
    <xf numFmtId="21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209" fontId="22" fillId="0" borderId="0" applyFont="0" applyFill="0" applyBorder="0" applyAlignment="0" applyProtection="0"/>
    <xf numFmtId="210" fontId="22" fillId="0" borderId="0" applyFont="0" applyFill="0" applyBorder="0" applyAlignment="0" applyProtection="0"/>
    <xf numFmtId="209" fontId="22" fillId="0" borderId="0" applyFont="0" applyFill="0" applyBorder="0" applyAlignment="0" applyProtection="0"/>
    <xf numFmtId="210" fontId="22" fillId="0" borderId="0" applyFont="0" applyFill="0" applyBorder="0" applyAlignment="0" applyProtection="0"/>
    <xf numFmtId="209" fontId="22" fillId="0" borderId="0" applyFont="0" applyFill="0" applyBorder="0" applyAlignment="0" applyProtection="0"/>
    <xf numFmtId="210" fontId="22" fillId="0" borderId="0" applyFont="0" applyFill="0" applyBorder="0" applyAlignment="0" applyProtection="0"/>
    <xf numFmtId="211" fontId="22" fillId="0" borderId="0" applyFont="0" applyFill="0" applyBorder="0" applyAlignment="0" applyProtection="0"/>
    <xf numFmtId="212" fontId="22" fillId="0" borderId="0" applyFont="0" applyFill="0" applyBorder="0" applyAlignment="0" applyProtection="0"/>
    <xf numFmtId="167" fontId="122" fillId="0" borderId="0" applyFont="0" applyFill="0" applyBorder="0" applyAlignment="0" applyProtection="0"/>
    <xf numFmtId="0" fontId="161" fillId="0" borderId="0"/>
    <xf numFmtId="164" fontId="122" fillId="0" borderId="0" applyFont="0" applyFill="0" applyBorder="0" applyAlignment="0" applyProtection="0"/>
    <xf numFmtId="211" fontId="22" fillId="0" borderId="0" applyFont="0" applyFill="0" applyBorder="0" applyAlignment="0" applyProtection="0"/>
    <xf numFmtId="212" fontId="22" fillId="0" borderId="0" applyFont="0" applyFill="0" applyBorder="0" applyAlignment="0" applyProtection="0"/>
    <xf numFmtId="211" fontId="22" fillId="0" borderId="0" applyFont="0" applyFill="0" applyBorder="0" applyAlignment="0" applyProtection="0"/>
    <xf numFmtId="212" fontId="22" fillId="0" borderId="0" applyFont="0" applyFill="0" applyBorder="0" applyAlignment="0" applyProtection="0"/>
    <xf numFmtId="0" fontId="162" fillId="0" borderId="0"/>
    <xf numFmtId="0" fontId="162" fillId="0" borderId="0"/>
    <xf numFmtId="211" fontId="22" fillId="0" borderId="0" applyFont="0" applyFill="0" applyBorder="0" applyAlignment="0" applyProtection="0"/>
    <xf numFmtId="212"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34" fillId="0" borderId="0"/>
    <xf numFmtId="0" fontId="163" fillId="0" borderId="0"/>
    <xf numFmtId="0" fontId="22" fillId="0" borderId="0" applyFont="0" applyFill="0" applyBorder="0" applyAlignment="0" applyProtection="0"/>
    <xf numFmtId="0" fontId="22" fillId="0" borderId="0" applyFont="0" applyFill="0" applyBorder="0" applyAlignment="0" applyProtection="0"/>
    <xf numFmtId="211" fontId="22" fillId="0" borderId="0" applyFont="0" applyFill="0" applyBorder="0" applyAlignment="0" applyProtection="0"/>
    <xf numFmtId="212" fontId="22" fillId="0" borderId="0" applyFont="0" applyFill="0" applyBorder="0" applyAlignment="0" applyProtection="0"/>
    <xf numFmtId="211" fontId="22" fillId="0" borderId="0" applyFont="0" applyFill="0" applyBorder="0" applyAlignment="0" applyProtection="0"/>
    <xf numFmtId="212" fontId="22" fillId="0" borderId="0" applyFont="0" applyFill="0" applyBorder="0" applyAlignment="0" applyProtection="0"/>
    <xf numFmtId="211" fontId="22" fillId="0" borderId="0" applyFont="0" applyFill="0" applyBorder="0" applyAlignment="0" applyProtection="0"/>
    <xf numFmtId="212" fontId="22" fillId="0" borderId="0" applyFont="0" applyFill="0" applyBorder="0" applyAlignment="0" applyProtection="0"/>
    <xf numFmtId="236" fontId="11" fillId="0" borderId="0"/>
    <xf numFmtId="0" fontId="27" fillId="0" borderId="0">
      <alignment horizontal="right"/>
    </xf>
    <xf numFmtId="0" fontId="2" fillId="0" borderId="1" applyBorder="0"/>
    <xf numFmtId="214" fontId="22" fillId="0" borderId="0" applyFont="0" applyFill="0" applyBorder="0" applyAlignment="0" applyProtection="0"/>
    <xf numFmtId="0" fontId="27" fillId="0" borderId="0"/>
    <xf numFmtId="0" fontId="164" fillId="2" borderId="2">
      <alignment horizontal="right" vertical="center"/>
    </xf>
    <xf numFmtId="0" fontId="27" fillId="0" borderId="0"/>
    <xf numFmtId="272" fontId="27" fillId="0" borderId="0"/>
    <xf numFmtId="0" fontId="42" fillId="0" borderId="0"/>
    <xf numFmtId="0" fontId="122" fillId="0" borderId="0" applyFont="0" applyFill="0" applyBorder="0" applyAlignment="0" applyProtection="0"/>
    <xf numFmtId="0" fontId="42" fillId="0" borderId="0"/>
    <xf numFmtId="0" fontId="42" fillId="0" borderId="0"/>
    <xf numFmtId="0" fontId="42" fillId="0" borderId="0"/>
    <xf numFmtId="213" fontId="22" fillId="0" borderId="0" applyFont="0" applyFill="0" applyBorder="0" applyAlignment="0" applyProtection="0"/>
    <xf numFmtId="214" fontId="22"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0" fontId="122" fillId="0" borderId="0" applyFont="0" applyFill="0" applyBorder="0" applyAlignment="0" applyProtection="0"/>
    <xf numFmtId="0" fontId="165"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213" fontId="22" fillId="0" borderId="0" applyFont="0" applyFill="0" applyBorder="0" applyAlignment="0" applyProtection="0"/>
    <xf numFmtId="214" fontId="22" fillId="0" borderId="0" applyFont="0" applyFill="0" applyBorder="0" applyAlignment="0" applyProtection="0"/>
    <xf numFmtId="0" fontId="2" fillId="0" borderId="0"/>
    <xf numFmtId="0" fontId="159" fillId="0" borderId="0" applyNumberFormat="0" applyFont="0" applyFill="0" applyBorder="0" applyAlignment="0" applyProtection="0"/>
    <xf numFmtId="0" fontId="2" fillId="0" borderId="3" applyBorder="0"/>
    <xf numFmtId="0" fontId="23" fillId="0" borderId="0" applyFont="0" applyFill="0" applyBorder="0" applyAlignment="0"/>
    <xf numFmtId="0" fontId="2" fillId="0" borderId="0" applyFont="0" applyFill="0" applyBorder="0" applyAlignment="0" applyProtection="0"/>
    <xf numFmtId="0" fontId="27" fillId="0" borderId="0" applyFont="0" applyFill="0" applyBorder="0" applyAlignment="0" applyProtection="0"/>
    <xf numFmtId="273" fontId="27" fillId="0" borderId="0" applyFont="0" applyFill="0" applyBorder="0" applyAlignment="0" applyProtection="0"/>
    <xf numFmtId="0" fontId="166" fillId="0" borderId="0" applyNumberFormat="0" applyFill="0" applyBorder="0" applyAlignment="0" applyProtection="0">
      <alignment vertical="top"/>
      <protection locked="0"/>
    </xf>
    <xf numFmtId="0" fontId="27" fillId="0" borderId="0" applyFont="0" applyFill="0" applyBorder="0" applyAlignment="0" applyProtection="0"/>
    <xf numFmtId="274" fontId="27" fillId="0" borderId="0" applyFont="0" applyFill="0" applyBorder="0" applyAlignment="0" applyProtection="0"/>
    <xf numFmtId="0" fontId="167" fillId="0" borderId="0"/>
    <xf numFmtId="0" fontId="33" fillId="0" borderId="0" applyFont="0" applyAlignment="0">
      <alignment horizontal="center" vertical="center"/>
    </xf>
    <xf numFmtId="0" fontId="4" fillId="0" borderId="0" applyNumberFormat="0" applyFont="0" applyBorder="0" applyAlignment="0">
      <alignment horizontal="left"/>
    </xf>
    <xf numFmtId="0" fontId="73" fillId="0" borderId="0"/>
    <xf numFmtId="0" fontId="23" fillId="0" borderId="0"/>
    <xf numFmtId="0" fontId="33" fillId="0" borderId="0" applyFont="0" applyAlignment="0">
      <alignment horizontal="center" vertical="center"/>
    </xf>
    <xf numFmtId="0" fontId="33" fillId="0" borderId="0" applyFont="0" applyAlignment="0">
      <alignment horizontal="center" vertical="center"/>
    </xf>
    <xf numFmtId="0" fontId="33" fillId="0" borderId="0" applyFont="0" applyAlignment="0">
      <alignment horizontal="center" vertical="center"/>
    </xf>
    <xf numFmtId="0" fontId="33" fillId="0" borderId="0" applyFont="0" applyAlignment="0">
      <alignment horizontal="center" vertical="center"/>
    </xf>
    <xf numFmtId="0" fontId="33" fillId="0" borderId="0" applyFont="0" applyAlignment="0">
      <alignment horizontal="center" vertical="center"/>
    </xf>
    <xf numFmtId="0" fontId="33" fillId="0" borderId="0" applyFont="0" applyAlignment="0">
      <alignment horizontal="center" vertical="center"/>
    </xf>
    <xf numFmtId="0" fontId="23" fillId="0" borderId="0"/>
    <xf numFmtId="0" fontId="23" fillId="0" borderId="0"/>
    <xf numFmtId="0" fontId="93" fillId="0" borderId="0" applyFont="0" applyFill="0" applyBorder="0" applyAlignment="0" applyProtection="0"/>
    <xf numFmtId="169"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274" fontId="27"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168" fillId="0" borderId="0" applyFont="0" applyFill="0" applyBorder="0" applyAlignment="0" applyProtection="0"/>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34"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73" fontId="2" fillId="0" borderId="0" applyFont="0" applyFill="0" applyBorder="0" applyAlignment="0" applyProtection="0"/>
    <xf numFmtId="273" fontId="2" fillId="0" borderId="0" applyFont="0" applyFill="0" applyBorder="0" applyAlignment="0" applyProtection="0"/>
    <xf numFmtId="273" fontId="168" fillId="0" borderId="0" applyFont="0" applyFill="0" applyBorder="0" applyAlignment="0" applyProtection="0"/>
    <xf numFmtId="273"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273"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273" fontId="34" fillId="0" borderId="0" applyFont="0" applyFill="0" applyBorder="0" applyAlignment="0" applyProtection="0"/>
    <xf numFmtId="273" fontId="2" fillId="0" borderId="0" applyFont="0" applyFill="0" applyBorder="0" applyAlignment="0" applyProtection="0"/>
    <xf numFmtId="273" fontId="2" fillId="0" borderId="0" applyFont="0" applyFill="0" applyBorder="0" applyAlignment="0" applyProtection="0"/>
    <xf numFmtId="0" fontId="11" fillId="0" borderId="0"/>
    <xf numFmtId="0" fontId="2" fillId="0" borderId="0" applyFont="0" applyFill="0" applyBorder="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2" fillId="0" borderId="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Protection="0">
      <alignment horizontal="right"/>
    </xf>
    <xf numFmtId="0" fontId="169" fillId="0" borderId="0"/>
    <xf numFmtId="0" fontId="27" fillId="0" borderId="0">
      <alignment horizontal="left" wrapText="1"/>
    </xf>
    <xf numFmtId="0" fontId="27" fillId="0" borderId="0">
      <alignment horizontal="left" wrapText="1"/>
    </xf>
    <xf numFmtId="0" fontId="27" fillId="0" borderId="0">
      <alignment horizontal="left" wrapText="1"/>
    </xf>
    <xf numFmtId="0" fontId="2" fillId="0" borderId="0"/>
    <xf numFmtId="0" fontId="169" fillId="0" borderId="0"/>
    <xf numFmtId="0" fontId="89" fillId="0" borderId="0">
      <alignment vertical="top"/>
    </xf>
    <xf numFmtId="0" fontId="2" fillId="0" borderId="0" applyFont="0" applyFill="0" applyBorder="0" applyAlignment="0" applyProtection="0"/>
    <xf numFmtId="0" fontId="170" fillId="3" borderId="0"/>
    <xf numFmtId="0" fontId="159" fillId="0" borderId="0" applyNumberFormat="0" applyFill="0" applyBorder="0" applyAlignment="0" applyProtection="0"/>
    <xf numFmtId="183" fontId="2" fillId="0" borderId="0" applyFont="0" applyFill="0" applyBorder="0" applyAlignment="0" applyProtection="0"/>
    <xf numFmtId="0" fontId="27" fillId="0" borderId="0"/>
    <xf numFmtId="0" fontId="27" fillId="0" borderId="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68"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9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xf numFmtId="0" fontId="159" fillId="0" borderId="0" applyNumberFormat="0" applyFill="0" applyBorder="0" applyAlignment="0" applyProtection="0"/>
    <xf numFmtId="0" fontId="159" fillId="0" borderId="0" applyNumberFormat="0" applyFill="0" applyBorder="0" applyAlignment="0" applyProtection="0"/>
    <xf numFmtId="0" fontId="2" fillId="0" borderId="0"/>
    <xf numFmtId="231" fontId="2" fillId="0" borderId="0" applyFont="0" applyFill="0" applyBorder="0" applyAlignment="0" applyProtection="0"/>
    <xf numFmtId="0" fontId="27" fillId="0" borderId="0"/>
    <xf numFmtId="0" fontId="27" fillId="0" borderId="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168"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31" fontId="2" fillId="0" borderId="0" applyFont="0" applyFill="0" applyBorder="0" applyAlignment="0" applyProtection="0"/>
    <xf numFmtId="0" fontId="2"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275"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lignment horizontal="right" vertical="center"/>
      <protection locked="0"/>
    </xf>
    <xf numFmtId="0" fontId="27" fillId="0" borderId="0">
      <alignment horizontal="right" vertical="center"/>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lignment horizontal="right" vertical="center"/>
      <protection locked="0"/>
    </xf>
    <xf numFmtId="0" fontId="27" fillId="0" borderId="0">
      <alignment horizontal="right" vertical="center"/>
      <protection locked="0"/>
    </xf>
    <xf numFmtId="0" fontId="27" fillId="0" borderId="0">
      <alignment horizontal="right" vertical="center"/>
      <protection locked="0"/>
    </xf>
    <xf numFmtId="0" fontId="27" fillId="0" borderId="0">
      <alignment horizontal="right" vertical="center"/>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9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18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168"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18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76" fillId="0" borderId="0">
      <alignment horizontal="right" vertical="center"/>
      <protection locked="0"/>
    </xf>
    <xf numFmtId="0" fontId="76" fillId="0" borderId="0">
      <alignment horizontal="right" vertical="center"/>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171"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9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34"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34" fillId="0" borderId="0" applyFont="0" applyFill="0" applyBorder="0" applyAlignment="0" applyProtection="0"/>
    <xf numFmtId="0" fontId="34" fillId="0" borderId="0" applyFont="0" applyFill="0" applyBorder="0" applyAlignment="0" applyProtection="0"/>
    <xf numFmtId="0" fontId="2" fillId="0" borderId="0" applyFont="0" applyFill="0" applyBorder="0" applyAlignment="0" applyProtection="0"/>
    <xf numFmtId="0" fontId="2" fillId="0" borderId="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4" applyFont="0" applyFill="0" applyBorder="0" applyAlignment="0" applyProtection="0"/>
    <xf numFmtId="0" fontId="27" fillId="0" borderId="4" applyFont="0" applyFill="0" applyBorder="0" applyAlignment="0" applyProtection="0"/>
    <xf numFmtId="0" fontId="27" fillId="0" borderId="4" applyFont="0" applyFill="0" applyBorder="0" applyAlignment="0" applyProtection="0"/>
    <xf numFmtId="0" fontId="2" fillId="0" borderId="0" applyFont="0" applyFill="0" applyBorder="0" applyAlignment="0" applyProtection="0"/>
    <xf numFmtId="0" fontId="34" fillId="0" borderId="0"/>
    <xf numFmtId="0" fontId="2" fillId="0" borderId="0" applyFont="0" applyFill="0" applyBorder="0" applyAlignment="0" applyProtection="0"/>
    <xf numFmtId="0" fontId="85"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172" fillId="0" borderId="0" applyNumberFormat="0" applyFill="0" applyBorder="0" applyAlignment="0" applyProtection="0"/>
    <xf numFmtId="0" fontId="85" fillId="0" borderId="0" applyNumberFormat="0" applyFill="0" applyBorder="0" applyAlignment="0" applyProtection="0"/>
    <xf numFmtId="0" fontId="85" fillId="0" borderId="0" applyNumberFormat="0" applyFill="0" applyBorder="0" applyAlignment="0" applyProtection="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34" fillId="4" borderId="0" applyNumberFormat="0" applyFont="0" applyAlignment="0" applyProtection="0"/>
    <xf numFmtId="0" fontId="2" fillId="4" borderId="0" applyNumberFormat="0" applyFont="0" applyAlignment="0" applyProtection="0"/>
    <xf numFmtId="0" fontId="2" fillId="5"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34" fillId="4" borderId="0" applyNumberFormat="0" applyFont="0" applyAlignment="0" applyProtection="0"/>
    <xf numFmtId="0" fontId="34" fillId="6"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69" fillId="4" borderId="0" applyNumberFormat="0" applyFont="0" applyAlignment="0" applyProtection="0"/>
    <xf numFmtId="0" fontId="2" fillId="4" borderId="0" applyNumberFormat="0" applyFont="0" applyAlignment="0" applyProtection="0"/>
    <xf numFmtId="0" fontId="34" fillId="6" borderId="0" applyNumberFormat="0" applyFont="0" applyAlignment="0" applyProtection="0"/>
    <xf numFmtId="0" fontId="2" fillId="0" borderId="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2" fillId="4" borderId="0" applyNumberFormat="0" applyFont="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0" fontId="26" fillId="0" borderId="0">
      <alignment vertical="center"/>
    </xf>
    <xf numFmtId="0" fontId="2" fillId="0" borderId="0" applyFont="0" applyFill="0" applyBorder="0" applyAlignment="0" applyProtection="0"/>
    <xf numFmtId="0" fontId="27" fillId="0" borderId="0"/>
    <xf numFmtId="0" fontId="27" fillId="0" borderId="0"/>
    <xf numFmtId="0" fontId="2" fillId="0" borderId="0" applyFont="0" applyFill="0" applyBorder="0" applyAlignment="0" applyProtection="0"/>
    <xf numFmtId="23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68"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32"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76" fillId="0" borderId="0">
      <alignment horizontal="left" vertical="center" indent="4"/>
      <protection locked="0"/>
    </xf>
    <xf numFmtId="0" fontId="76" fillId="0" borderId="0">
      <alignment horizontal="left" vertical="center" indent="4"/>
      <protection locked="0"/>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40" fillId="0" borderId="0" applyFont="0" applyFill="0" applyBorder="0" applyAlignment="0" applyProtection="0"/>
    <xf numFmtId="0" fontId="2" fillId="0" borderId="0" applyFont="0" applyFill="0" applyBorder="0" applyAlignment="0" applyProtection="0"/>
    <xf numFmtId="0" fontId="169"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4" fillId="0" borderId="0" applyFill="0" applyProtection="0">
      <alignment horizontal="center"/>
    </xf>
    <xf numFmtId="0" fontId="24" fillId="0" borderId="0" applyFill="0" applyProtection="0">
      <alignment horizontal="center"/>
    </xf>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171"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9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23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168" fillId="0" borderId="0" applyFont="0" applyFill="0" applyBorder="0" applyProtection="0">
      <alignment horizontal="right"/>
    </xf>
    <xf numFmtId="0" fontId="2" fillId="0" borderId="0" applyFont="0" applyFill="0" applyBorder="0" applyAlignment="0" applyProtection="0"/>
    <xf numFmtId="0" fontId="43"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233" fontId="2" fillId="0" borderId="0" applyFont="0" applyFill="0" applyBorder="0" applyAlignment="0" applyProtection="0"/>
    <xf numFmtId="0" fontId="2" fillId="0" borderId="0" applyFont="0" applyFill="0" applyBorder="0" applyProtection="0">
      <alignment horizontal="right"/>
    </xf>
    <xf numFmtId="0" fontId="43" fillId="0" borderId="0" applyFont="0" applyFill="0" applyBorder="0" applyAlignment="0" applyProtection="0"/>
    <xf numFmtId="0" fontId="43" fillId="0" borderId="0" applyFont="0" applyFill="0" applyBorder="0" applyAlignment="0" applyProtection="0"/>
    <xf numFmtId="0" fontId="27"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Alignment="0" applyProtection="0"/>
    <xf numFmtId="0" fontId="43"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27"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Protection="0">
      <alignment horizontal="right"/>
    </xf>
    <xf numFmtId="0" fontId="2" fillId="0" borderId="0" applyFont="0" applyFill="0" applyBorder="0" applyProtection="0">
      <alignment horizontal="left" indent="4"/>
    </xf>
    <xf numFmtId="0" fontId="2" fillId="0" borderId="0" applyFont="0" applyFill="0" applyBorder="0" applyProtection="0">
      <alignment horizontal="left" indent="4"/>
    </xf>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0" fontId="171"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Alignment="0" applyProtection="0"/>
    <xf numFmtId="0" fontId="93"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2" fillId="0" borderId="0" applyFont="0" applyFill="0" applyBorder="0" applyProtection="0">
      <alignment horizontal="right"/>
    </xf>
    <xf numFmtId="0" fontId="27" fillId="0" borderId="0" applyFont="0" applyFill="0" applyBorder="0" applyAlignment="0" applyProtection="0"/>
    <xf numFmtId="0" fontId="27" fillId="0" borderId="0" applyFont="0" applyFill="0" applyBorder="0" applyAlignment="0" applyProtection="0"/>
    <xf numFmtId="0" fontId="2" fillId="0" borderId="0" applyFont="0" applyFill="0" applyBorder="0" applyAlignment="0" applyProtection="0"/>
    <xf numFmtId="0" fontId="159" fillId="0" borderId="0" applyNumberFormat="0" applyFill="0" applyBorder="0" applyAlignment="0" applyProtection="0"/>
    <xf numFmtId="0" fontId="159" fillId="0" borderId="0" applyNumberFormat="0" applyFill="0" applyBorder="0" applyAlignment="0" applyProtection="0"/>
    <xf numFmtId="234" fontId="2"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34" fontId="2" fillId="0" borderId="0" applyFont="0" applyFill="0" applyBorder="0" applyAlignment="0" applyProtection="0"/>
    <xf numFmtId="0" fontId="2" fillId="0" borderId="0" applyFont="0" applyFill="0" applyBorder="0" applyProtection="0">
      <alignment horizontal="right"/>
    </xf>
    <xf numFmtId="0" fontId="43"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171"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7" fillId="0" borderId="5" applyFont="0" applyFill="0" applyBorder="0" applyProtection="0">
      <alignment horizontal="right"/>
    </xf>
    <xf numFmtId="0" fontId="27" fillId="0" borderId="5" applyFont="0" applyFill="0" applyBorder="0" applyProtection="0">
      <alignment horizontal="right"/>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Protection="0">
      <alignment horizontal="right"/>
    </xf>
    <xf numFmtId="0" fontId="27" fillId="0" borderId="0" applyFont="0" applyFill="0" applyBorder="0" applyProtection="0">
      <alignment horizontal="right"/>
    </xf>
    <xf numFmtId="235" fontId="2"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35" fontId="2" fillId="0" borderId="0" applyFont="0" applyFill="0" applyBorder="0" applyAlignment="0" applyProtection="0"/>
    <xf numFmtId="273" fontId="2" fillId="0" borderId="0" applyFont="0" applyFill="0" applyBorder="0" applyProtection="0">
      <alignment horizontal="right"/>
    </xf>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273" fontId="2" fillId="0" borderId="0" applyFont="0" applyFill="0" applyBorder="0" applyAlignment="0" applyProtection="0"/>
    <xf numFmtId="0" fontId="2" fillId="0" borderId="0" applyFont="0" applyFill="0" applyBorder="0" applyAlignment="0" applyProtection="0"/>
    <xf numFmtId="273" fontId="2" fillId="0" borderId="0" applyFont="0" applyFill="0" applyBorder="0" applyAlignment="0" applyProtection="0"/>
    <xf numFmtId="0" fontId="43" fillId="0" borderId="0" applyFont="0" applyFill="0" applyBorder="0" applyAlignment="0" applyProtection="0"/>
    <xf numFmtId="27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273" fontId="171" fillId="0" borderId="0" applyFont="0" applyFill="0" applyBorder="0" applyAlignment="0" applyProtection="0"/>
    <xf numFmtId="273" fontId="171" fillId="0" borderId="0" applyFont="0" applyFill="0" applyBorder="0" applyAlignment="0" applyProtection="0"/>
    <xf numFmtId="273" fontId="171"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1" fillId="0" borderId="0" applyFont="0" applyFill="0" applyBorder="0" applyAlignment="0" applyProtection="0"/>
    <xf numFmtId="273" fontId="2" fillId="0" borderId="0" applyFont="0" applyFill="0" applyBorder="0" applyProtection="0">
      <alignment horizontal="right"/>
    </xf>
    <xf numFmtId="273" fontId="93" fillId="0" borderId="0" applyFont="0" applyFill="0" applyBorder="0" applyProtection="0">
      <alignment horizontal="right"/>
    </xf>
    <xf numFmtId="273" fontId="2" fillId="0" borderId="0" applyFont="0" applyFill="0" applyBorder="0" applyAlignment="0" applyProtection="0"/>
    <xf numFmtId="273"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2" fillId="0" borderId="0" applyFont="0" applyFill="0" applyBorder="0" applyAlignment="0" applyProtection="0"/>
    <xf numFmtId="0" fontId="173"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4"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Alignment="0" applyProtection="0">
      <alignment vertical="top"/>
    </xf>
    <xf numFmtId="0" fontId="174"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Alignment="0" applyProtection="0"/>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Alignment="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173" fillId="0" borderId="0" applyNumberFormat="0" applyFill="0" applyBorder="0" applyProtection="0">
      <alignment vertical="top"/>
    </xf>
    <xf numFmtId="0" fontId="76" fillId="0" borderId="5" applyNumberFormat="0" applyFill="0" applyAlignment="0" applyProtection="0"/>
    <xf numFmtId="0" fontId="76" fillId="0" borderId="5" applyNumberFormat="0" applyFill="0" applyAlignment="0" applyProtection="0"/>
    <xf numFmtId="0" fontId="175" fillId="0" borderId="5" applyNumberFormat="0" applyFill="0" applyAlignment="0" applyProtection="0"/>
    <xf numFmtId="0" fontId="76" fillId="0" borderId="5" applyNumberFormat="0" applyFill="0" applyAlignment="0" applyProtection="0"/>
    <xf numFmtId="0" fontId="175" fillId="0" borderId="5" applyNumberFormat="0" applyFill="0" applyAlignment="0" applyProtection="0"/>
    <xf numFmtId="0" fontId="175"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6" applyNumberFormat="0" applyFill="0" applyAlignment="0" applyProtection="0"/>
    <xf numFmtId="0" fontId="76" fillId="0" borderId="5" applyNumberFormat="0" applyFill="0" applyAlignment="0" applyProtection="0"/>
    <xf numFmtId="0" fontId="76" fillId="0" borderId="6" applyNumberFormat="0" applyFill="0" applyAlignment="0" applyProtection="0"/>
    <xf numFmtId="0" fontId="76" fillId="0" borderId="6" applyNumberFormat="0" applyFill="0" applyAlignment="0" applyProtection="0"/>
    <xf numFmtId="0" fontId="76" fillId="0" borderId="5" applyNumberFormat="0" applyFill="0" applyAlignment="0" applyProtection="0"/>
    <xf numFmtId="0" fontId="175"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6"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6" applyNumberFormat="0" applyFill="0" applyAlignment="0" applyProtection="0"/>
    <xf numFmtId="0" fontId="2" fillId="0" borderId="0"/>
    <xf numFmtId="0" fontId="76" fillId="0" borderId="5" applyNumberFormat="0" applyFill="0" applyAlignment="0" applyProtection="0"/>
    <xf numFmtId="0" fontId="76" fillId="0" borderId="5" applyNumberFormat="0" applyFill="0" applyAlignment="0" applyProtection="0"/>
    <xf numFmtId="0" fontId="76" fillId="0" borderId="6" applyNumberFormat="0" applyFill="0" applyAlignment="0" applyProtection="0"/>
    <xf numFmtId="0" fontId="76" fillId="0" borderId="0" applyNumberFormat="0" applyFill="0" applyBorder="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6"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76" fillId="0" borderId="5" applyNumberFormat="0" applyFill="0" applyAlignment="0" applyProtection="0"/>
    <xf numFmtId="0" fontId="86" fillId="0" borderId="7" applyNumberFormat="0" applyFill="0" applyProtection="0">
      <alignment horizontal="center"/>
    </xf>
    <xf numFmtId="0" fontId="117" fillId="0" borderId="7" applyNumberFormat="0" applyFill="0" applyProtection="0">
      <alignment horizontal="center"/>
    </xf>
    <xf numFmtId="0" fontId="117" fillId="0" borderId="7" applyNumberFormat="0" applyFill="0" applyProtection="0">
      <alignment horizontal="center"/>
    </xf>
    <xf numFmtId="0" fontId="117" fillId="0" borderId="7" applyNumberFormat="0" applyFill="0" applyProtection="0">
      <alignment horizontal="center"/>
    </xf>
    <xf numFmtId="0" fontId="86" fillId="0" borderId="7" applyNumberFormat="0" applyFill="0" applyProtection="0">
      <alignment horizontal="center"/>
    </xf>
    <xf numFmtId="0" fontId="176" fillId="0" borderId="7" applyNumberFormat="0" applyFill="0" applyProtection="0">
      <alignment horizontal="center"/>
    </xf>
    <xf numFmtId="0" fontId="176" fillId="0" borderId="7" applyNumberFormat="0" applyFill="0" applyProtection="0">
      <alignment horizontal="center"/>
    </xf>
    <xf numFmtId="0" fontId="86" fillId="0" borderId="7" applyNumberFormat="0" applyFill="0" applyProtection="0">
      <alignment horizontal="center"/>
    </xf>
    <xf numFmtId="0" fontId="86" fillId="0" borderId="7" applyNumberFormat="0" applyFill="0" applyProtection="0">
      <alignment horizontal="center"/>
    </xf>
    <xf numFmtId="0" fontId="117" fillId="0" borderId="7" applyNumberFormat="0" applyFill="0" applyProtection="0">
      <alignment horizontal="center"/>
    </xf>
    <xf numFmtId="0" fontId="86" fillId="0" borderId="7" applyNumberFormat="0" applyFill="0" applyProtection="0">
      <alignment horizontal="center"/>
    </xf>
    <xf numFmtId="0" fontId="86" fillId="0" borderId="7" applyNumberFormat="0" applyFill="0" applyProtection="0">
      <alignment horizontal="center"/>
    </xf>
    <xf numFmtId="0" fontId="176" fillId="0" borderId="7" applyNumberFormat="0" applyFill="0" applyProtection="0">
      <alignment horizontal="center"/>
    </xf>
    <xf numFmtId="0" fontId="86" fillId="0" borderId="7" applyNumberFormat="0" applyFill="0" applyProtection="0">
      <alignment horizontal="center"/>
    </xf>
    <xf numFmtId="0" fontId="2" fillId="0" borderId="0"/>
    <xf numFmtId="0" fontId="86" fillId="0" borderId="7" applyNumberFormat="0" applyFill="0" applyProtection="0">
      <alignment horizontal="center"/>
    </xf>
    <xf numFmtId="0" fontId="86" fillId="0" borderId="7" applyNumberFormat="0" applyFill="0" applyProtection="0">
      <alignment horizontal="center"/>
    </xf>
    <xf numFmtId="0" fontId="86" fillId="0" borderId="7" applyNumberFormat="0" applyFill="0" applyProtection="0">
      <alignment horizontal="center"/>
    </xf>
    <xf numFmtId="0" fontId="2" fillId="0" borderId="8" applyNumberFormat="0" applyFont="0" applyFill="0" applyAlignment="0" applyProtection="0"/>
    <xf numFmtId="0" fontId="86" fillId="0" borderId="0" applyNumberFormat="0" applyFill="0" applyBorder="0" applyProtection="0">
      <alignment horizontal="left"/>
    </xf>
    <xf numFmtId="0" fontId="117" fillId="0" borderId="0" applyNumberFormat="0" applyFill="0" applyBorder="0" applyProtection="0">
      <alignment horizontal="left"/>
    </xf>
    <xf numFmtId="0" fontId="117" fillId="0" borderId="0" applyNumberFormat="0" applyFill="0" applyBorder="0" applyProtection="0">
      <alignment horizontal="left"/>
    </xf>
    <xf numFmtId="0" fontId="117" fillId="0" borderId="0" applyNumberFormat="0" applyFill="0" applyBorder="0" applyProtection="0">
      <alignment horizontal="left"/>
    </xf>
    <xf numFmtId="0" fontId="86" fillId="0" borderId="0" applyNumberFormat="0" applyFill="0" applyBorder="0" applyProtection="0">
      <alignment horizontal="left"/>
    </xf>
    <xf numFmtId="0" fontId="86" fillId="0" borderId="0" applyNumberFormat="0" applyFill="0" applyBorder="0" applyProtection="0">
      <alignment horizontal="left"/>
    </xf>
    <xf numFmtId="0" fontId="117" fillId="0" borderId="0" applyNumberFormat="0" applyFill="0" applyBorder="0" applyProtection="0">
      <alignment horizontal="left"/>
    </xf>
    <xf numFmtId="0" fontId="86" fillId="0" borderId="0" applyNumberFormat="0" applyFill="0" applyBorder="0" applyProtection="0">
      <alignment horizontal="left"/>
    </xf>
    <xf numFmtId="0" fontId="86" fillId="0" borderId="0" applyNumberFormat="0" applyFill="0" applyBorder="0" applyProtection="0">
      <alignment horizontal="left"/>
    </xf>
    <xf numFmtId="0" fontId="2" fillId="0" borderId="0"/>
    <xf numFmtId="0" fontId="86" fillId="0" borderId="0" applyNumberFormat="0" applyFill="0" applyBorder="0" applyProtection="0">
      <alignment horizontal="left"/>
    </xf>
    <xf numFmtId="0" fontId="86" fillId="0" borderId="0" applyNumberFormat="0" applyFill="0" applyBorder="0" applyProtection="0">
      <alignment horizontal="left"/>
    </xf>
    <xf numFmtId="0" fontId="86" fillId="0" borderId="0" applyNumberFormat="0" applyFill="0" applyBorder="0" applyProtection="0">
      <alignment horizontal="left"/>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177" fillId="0" borderId="0" applyNumberFormat="0" applyFill="0" applyBorder="0" applyProtection="0">
      <alignment horizontal="centerContinuous"/>
    </xf>
    <xf numFmtId="0" fontId="87" fillId="0" borderId="0" applyNumberFormat="0" applyFill="0" applyBorder="0" applyProtection="0">
      <alignment horizontal="centerContinuous"/>
    </xf>
    <xf numFmtId="0" fontId="177" fillId="0" borderId="0" applyNumberFormat="0" applyFill="0" applyBorder="0" applyProtection="0">
      <alignment horizontal="centerContinuous"/>
    </xf>
    <xf numFmtId="0" fontId="17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178" fillId="0" borderId="0" applyNumberFormat="0" applyFill="0" applyBorder="0" applyProtection="0">
      <alignment horizontal="centerContinuous"/>
    </xf>
    <xf numFmtId="0" fontId="87" fillId="0" borderId="0" applyNumberFormat="0" applyFill="0" applyProtection="0">
      <alignment horizontal="centerContinuous"/>
    </xf>
    <xf numFmtId="0" fontId="178" fillId="0" borderId="0" applyNumberFormat="0" applyFill="0" applyBorder="0" applyProtection="0">
      <alignment horizontal="centerContinuous"/>
    </xf>
    <xf numFmtId="0" fontId="87" fillId="0" borderId="0" applyNumberFormat="0" applyFill="0" applyProtection="0">
      <alignment horizontal="centerContinuous"/>
    </xf>
    <xf numFmtId="0" fontId="87" fillId="0" borderId="0" applyNumberFormat="0" applyFill="0" applyProtection="0">
      <alignment horizontal="centerContinuous"/>
    </xf>
    <xf numFmtId="0" fontId="87" fillId="0" borderId="0" applyNumberFormat="0" applyFill="0" applyBorder="0" applyProtection="0">
      <alignment horizontal="centerContinuous"/>
    </xf>
    <xf numFmtId="0" fontId="17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Protection="0">
      <alignment horizontal="centerContinuous"/>
    </xf>
    <xf numFmtId="0" fontId="87" fillId="0" borderId="0" applyNumberFormat="0" applyFont="0" applyFill="0" applyBorder="0" applyAlignment="0" applyProtection="0">
      <alignment horizontal="centerContinuous"/>
    </xf>
    <xf numFmtId="0" fontId="87" fillId="0" borderId="0" applyNumberFormat="0" applyFill="0" applyBorder="0" applyProtection="0">
      <alignment horizontal="centerContinuous"/>
    </xf>
    <xf numFmtId="0" fontId="178" fillId="0" borderId="0" applyNumberFormat="0" applyFill="0" applyBorder="0" applyProtection="0">
      <alignment horizontal="centerContinuous"/>
    </xf>
    <xf numFmtId="0" fontId="87" fillId="0" borderId="0" applyNumberFormat="0" applyFill="0" applyProtection="0">
      <alignment horizontal="centerContinuous"/>
    </xf>
    <xf numFmtId="0" fontId="2" fillId="0" borderId="0"/>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87" fillId="0" borderId="0" applyNumberFormat="0" applyFill="0" applyBorder="0" applyProtection="0">
      <alignment horizontal="centerContinuous"/>
    </xf>
    <xf numFmtId="0" fontId="76" fillId="0" borderId="0" applyNumberFormat="0" applyFill="0" applyBorder="0" applyAlignment="0" applyProtection="0"/>
    <xf numFmtId="0" fontId="2" fillId="0" borderId="0"/>
    <xf numFmtId="0" fontId="34" fillId="0" borderId="0"/>
    <xf numFmtId="0" fontId="89" fillId="0" borderId="0">
      <alignment vertical="top"/>
    </xf>
    <xf numFmtId="0" fontId="2" fillId="0" borderId="0" applyFont="0" applyFill="0" applyBorder="0" applyAlignment="0" applyProtection="0"/>
    <xf numFmtId="0" fontId="27" fillId="0" borderId="0"/>
    <xf numFmtId="0" fontId="27" fillId="0" borderId="0"/>
    <xf numFmtId="167" fontId="93" fillId="0" borderId="0" applyFont="0" applyFill="0" applyBorder="0" applyAlignment="0" applyProtection="0"/>
    <xf numFmtId="165" fontId="93"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5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179" fillId="0" borderId="0"/>
    <xf numFmtId="0" fontId="57" fillId="0" borderId="0" applyFont="0" applyFill="0" applyBorder="0" applyAlignment="0" applyProtection="0"/>
    <xf numFmtId="0" fontId="2" fillId="7" borderId="0"/>
    <xf numFmtId="0" fontId="264" fillId="0" borderId="0" applyFill="0" applyBorder="0" applyProtection="0">
      <protection locked="0"/>
    </xf>
    <xf numFmtId="0" fontId="2" fillId="0" borderId="0"/>
    <xf numFmtId="0" fontId="2" fillId="0" borderId="0"/>
    <xf numFmtId="0" fontId="180" fillId="0" borderId="0"/>
    <xf numFmtId="0" fontId="93" fillId="0" borderId="0"/>
    <xf numFmtId="169" fontId="2" fillId="0" borderId="0" applyFont="0" applyFill="0" applyBorder="0" applyAlignment="0" applyProtection="0"/>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2" fillId="0" borderId="0">
      <alignment vertical="top"/>
    </xf>
    <xf numFmtId="0" fontId="93" fillId="0" borderId="0"/>
    <xf numFmtId="0" fontId="2" fillId="0" borderId="0"/>
    <xf numFmtId="0" fontId="93" fillId="0" borderId="0"/>
    <xf numFmtId="238" fontId="2" fillId="0" borderId="0"/>
    <xf numFmtId="0" fontId="155" fillId="0" borderId="0">
      <alignment horizontal="right"/>
    </xf>
    <xf numFmtId="0" fontId="155" fillId="0" borderId="0"/>
    <xf numFmtId="0" fontId="93" fillId="0" borderId="0"/>
    <xf numFmtId="0" fontId="93" fillId="0" borderId="0"/>
    <xf numFmtId="237" fontId="11" fillId="8" borderId="0"/>
    <xf numFmtId="0" fontId="93" fillId="0" borderId="0"/>
    <xf numFmtId="0" fontId="27" fillId="0" borderId="0" applyFont="0" applyFill="0" applyBorder="0" applyAlignment="0" applyProtection="0">
      <alignment horizontal="right"/>
    </xf>
    <xf numFmtId="0" fontId="27" fillId="0" borderId="0" applyFont="0" applyFill="0" applyBorder="0" applyAlignment="0" applyProtection="0">
      <alignment horizontal="right"/>
    </xf>
    <xf numFmtId="0" fontId="69" fillId="0" borderId="9"/>
    <xf numFmtId="0" fontId="27" fillId="0" borderId="0">
      <alignment horizontal="left"/>
    </xf>
    <xf numFmtId="0" fontId="27" fillId="0" borderId="0">
      <alignment horizontal="left"/>
    </xf>
    <xf numFmtId="0" fontId="3" fillId="0" borderId="0"/>
    <xf numFmtId="227" fontId="88" fillId="0" borderId="0"/>
    <xf numFmtId="0" fontId="119" fillId="9" borderId="0" applyNumberFormat="0" applyBorder="0" applyAlignment="0" applyProtection="0"/>
    <xf numFmtId="0" fontId="119" fillId="10" borderId="0" applyNumberFormat="0" applyBorder="0" applyAlignment="0" applyProtection="0"/>
    <xf numFmtId="0" fontId="119" fillId="11" borderId="0" applyNumberFormat="0" applyBorder="0" applyAlignment="0" applyProtection="0"/>
    <xf numFmtId="0" fontId="119" fillId="12" borderId="0" applyNumberFormat="0" applyBorder="0" applyAlignment="0" applyProtection="0"/>
    <xf numFmtId="0" fontId="119" fillId="13" borderId="0" applyNumberFormat="0" applyBorder="0" applyAlignment="0" applyProtection="0"/>
    <xf numFmtId="0" fontId="119" fillId="14" borderId="0" applyNumberFormat="0" applyBorder="0" applyAlignment="0" applyProtection="0"/>
    <xf numFmtId="0" fontId="179" fillId="0" borderId="0" applyFont="0" applyFill="0" applyBorder="0" applyAlignment="0" applyProtection="0"/>
    <xf numFmtId="0" fontId="179" fillId="0" borderId="0" applyFont="0" applyFill="0" applyBorder="0" applyAlignment="0" applyProtection="0"/>
    <xf numFmtId="0" fontId="119" fillId="15" borderId="0" applyNumberFormat="0" applyBorder="0" applyAlignment="0" applyProtection="0"/>
    <xf numFmtId="0" fontId="119" fillId="16" borderId="0" applyNumberFormat="0" applyBorder="0" applyAlignment="0" applyProtection="0"/>
    <xf numFmtId="0" fontId="119" fillId="17" borderId="0" applyNumberFormat="0" applyBorder="0" applyAlignment="0" applyProtection="0"/>
    <xf numFmtId="0" fontId="119" fillId="12" borderId="0" applyNumberFormat="0" applyBorder="0" applyAlignment="0" applyProtection="0"/>
    <xf numFmtId="0" fontId="119" fillId="15" borderId="0" applyNumberFormat="0" applyBorder="0" applyAlignment="0" applyProtection="0"/>
    <xf numFmtId="0" fontId="119" fillId="18" borderId="0" applyNumberFormat="0" applyBorder="0" applyAlignment="0" applyProtection="0"/>
    <xf numFmtId="0" fontId="120" fillId="19" borderId="0" applyNumberFormat="0" applyBorder="0" applyAlignment="0" applyProtection="0"/>
    <xf numFmtId="0" fontId="120" fillId="16" borderId="0" applyNumberFormat="0" applyBorder="0" applyAlignment="0" applyProtection="0"/>
    <xf numFmtId="0" fontId="120" fillId="17" borderId="0" applyNumberFormat="0" applyBorder="0" applyAlignment="0" applyProtection="0"/>
    <xf numFmtId="0" fontId="120" fillId="5" borderId="0" applyNumberFormat="0" applyBorder="0" applyAlignment="0" applyProtection="0"/>
    <xf numFmtId="0" fontId="120" fillId="20" borderId="0" applyNumberFormat="0" applyBorder="0" applyAlignment="0" applyProtection="0"/>
    <xf numFmtId="0" fontId="120" fillId="21" borderId="0" applyNumberFormat="0" applyBorder="0" applyAlignment="0" applyProtection="0"/>
    <xf numFmtId="0" fontId="181" fillId="0" borderId="0">
      <alignment horizontal="center"/>
    </xf>
    <xf numFmtId="0" fontId="182" fillId="0" borderId="0">
      <alignment horizontal="center"/>
    </xf>
    <xf numFmtId="0" fontId="43" fillId="0" borderId="0" applyFont="0" applyFill="0" applyBorder="0" applyAlignment="0" applyProtection="0"/>
    <xf numFmtId="183" fontId="24" fillId="22" borderId="0" applyFont="0" applyBorder="0"/>
    <xf numFmtId="0" fontId="25" fillId="23" borderId="0"/>
    <xf numFmtId="183" fontId="24" fillId="24" borderId="0" applyNumberFormat="0" applyFont="0" applyBorder="0" applyAlignment="0" applyProtection="0"/>
    <xf numFmtId="183" fontId="26" fillId="7" borderId="0" applyNumberFormat="0" applyFont="0" applyBorder="0" applyAlignment="0" applyProtection="0"/>
    <xf numFmtId="183" fontId="27" fillId="25" borderId="0" applyBorder="0"/>
    <xf numFmtId="183" fontId="11" fillId="0" borderId="10" applyNumberFormat="0" applyBorder="0" applyAlignment="0" applyProtection="0"/>
    <xf numFmtId="182" fontId="28" fillId="0" borderId="0" applyBorder="0">
      <alignment horizontal="right"/>
    </xf>
    <xf numFmtId="182" fontId="27" fillId="0" borderId="10" applyBorder="0">
      <alignment horizontal="right"/>
    </xf>
    <xf numFmtId="173" fontId="29" fillId="0" borderId="0" applyBorder="0">
      <alignment horizontal="right"/>
    </xf>
    <xf numFmtId="173" fontId="30" fillId="0" borderId="10" applyBorder="0">
      <alignment horizontal="right"/>
    </xf>
    <xf numFmtId="183" fontId="31" fillId="0" borderId="0">
      <alignment horizontal="left" indent="1"/>
    </xf>
    <xf numFmtId="183" fontId="32" fillId="0" borderId="11" applyBorder="0"/>
    <xf numFmtId="183" fontId="24" fillId="26" borderId="10" applyNumberFormat="0" applyFont="0" applyBorder="0" applyAlignment="0" applyProtection="0"/>
    <xf numFmtId="182" fontId="33" fillId="27" borderId="11" applyBorder="0">
      <alignment horizontal="right"/>
    </xf>
    <xf numFmtId="182" fontId="33" fillId="0" borderId="11" applyBorder="0">
      <alignment horizontal="right"/>
    </xf>
    <xf numFmtId="183" fontId="34" fillId="0" borderId="10" applyNumberFormat="0" applyBorder="0" applyAlignment="0" applyProtection="0"/>
    <xf numFmtId="0" fontId="33" fillId="22" borderId="12" applyBorder="0">
      <alignment horizontal="center"/>
    </xf>
    <xf numFmtId="0" fontId="27" fillId="0" borderId="0" applyFont="0" applyFill="0" applyBorder="0" applyAlignment="0" applyProtection="0"/>
    <xf numFmtId="0" fontId="120" fillId="28" borderId="0" applyNumberFormat="0" applyBorder="0" applyAlignment="0" applyProtection="0"/>
    <xf numFmtId="0" fontId="120" fillId="29" borderId="0" applyNumberFormat="0" applyBorder="0" applyAlignment="0" applyProtection="0"/>
    <xf numFmtId="0" fontId="120" fillId="30" borderId="0" applyNumberFormat="0" applyBorder="0" applyAlignment="0" applyProtection="0"/>
    <xf numFmtId="0" fontId="120" fillId="5" borderId="0" applyNumberFormat="0" applyBorder="0" applyAlignment="0" applyProtection="0"/>
    <xf numFmtId="0" fontId="120" fillId="20" borderId="0" applyNumberFormat="0" applyBorder="0" applyAlignment="0" applyProtection="0"/>
    <xf numFmtId="0" fontId="120" fillId="31" borderId="0" applyNumberFormat="0" applyBorder="0" applyAlignment="0" applyProtection="0"/>
    <xf numFmtId="171" fontId="2" fillId="0" borderId="0" applyFont="0" applyFill="0" applyBorder="0" applyAlignment="0" applyProtection="0">
      <alignment vertical="top"/>
    </xf>
    <xf numFmtId="169" fontId="2" fillId="0" borderId="0" applyFont="0" applyFill="0" applyBorder="0" applyAlignment="0" applyProtection="0">
      <alignment vertical="top"/>
    </xf>
    <xf numFmtId="189" fontId="35" fillId="0" borderId="0" applyFont="0" applyFill="0" applyBorder="0" applyAlignment="0" applyProtection="0"/>
    <xf numFmtId="190" fontId="25" fillId="0" borderId="0" applyFont="0" applyFill="0" applyBorder="0" applyAlignment="0" applyProtection="0"/>
    <xf numFmtId="0" fontId="23" fillId="0" borderId="0" applyFont="0" applyFill="0" applyBorder="0" applyAlignment="0" applyProtection="0"/>
    <xf numFmtId="0" fontId="27" fillId="32" borderId="0" applyNumberFormat="0" applyFont="0" applyBorder="0" applyAlignment="0">
      <alignment horizontal="right"/>
    </xf>
    <xf numFmtId="0" fontId="27" fillId="33" borderId="13">
      <alignment horizontal="center" vertical="center"/>
    </xf>
    <xf numFmtId="0" fontId="27" fillId="32" borderId="14" applyFont="0">
      <alignment horizontal="right"/>
    </xf>
    <xf numFmtId="0" fontId="3" fillId="0" borderId="0" applyNumberFormat="0" applyFill="0" applyBorder="0" applyAlignment="0" applyProtection="0"/>
    <xf numFmtId="246" fontId="94" fillId="0" borderId="15"/>
    <xf numFmtId="247" fontId="94" fillId="0" borderId="16" applyBorder="0"/>
    <xf numFmtId="0" fontId="91" fillId="0" borderId="0"/>
    <xf numFmtId="0" fontId="92" fillId="0" borderId="0" applyNumberFormat="0" applyFill="0" applyBorder="0" applyAlignment="0" applyProtection="0"/>
    <xf numFmtId="0" fontId="40" fillId="0" borderId="0">
      <alignment horizontal="center" wrapText="1"/>
      <protection locked="0"/>
    </xf>
    <xf numFmtId="0" fontId="11" fillId="0" borderId="0" applyNumberFormat="0" applyFill="0" applyBorder="0" applyAlignment="0" applyProtection="0"/>
    <xf numFmtId="0" fontId="36" fillId="0" borderId="0" applyNumberFormat="0" applyFill="0" applyBorder="0" applyAlignment="0" applyProtection="0"/>
    <xf numFmtId="0" fontId="2" fillId="0" borderId="17" applyNumberFormat="0" applyFill="0" applyBorder="0" applyAlignment="0" applyProtection="0"/>
    <xf numFmtId="0" fontId="56" fillId="0" borderId="17" applyNumberFormat="0" applyFill="0" applyBorder="0" applyAlignment="0" applyProtection="0"/>
    <xf numFmtId="0" fontId="183" fillId="0" borderId="17" applyNumberFormat="0" applyFill="0" applyBorder="0" applyAlignment="0" applyProtection="0"/>
    <xf numFmtId="0" fontId="27" fillId="0" borderId="17" applyNumberFormat="0" applyFill="0" applyAlignment="0" applyProtection="0"/>
    <xf numFmtId="0" fontId="184" fillId="0" borderId="0" applyNumberFormat="0" applyProtection="0"/>
    <xf numFmtId="0" fontId="121" fillId="0" borderId="18">
      <protection hidden="1"/>
    </xf>
    <xf numFmtId="0" fontId="122" fillId="34" borderId="18" applyNumberFormat="0" applyFont="0" applyBorder="0" applyAlignment="0" applyProtection="0">
      <protection hidden="1"/>
    </xf>
    <xf numFmtId="0" fontId="185" fillId="0" borderId="19" applyNumberFormat="0" applyFill="0" applyAlignment="0" applyProtection="0"/>
    <xf numFmtId="0" fontId="25" fillId="0" borderId="0"/>
    <xf numFmtId="173" fontId="123" fillId="8" borderId="0"/>
    <xf numFmtId="0" fontId="43" fillId="0" borderId="3" applyNumberFormat="0" applyFont="0" applyFill="0" applyAlignment="0" applyProtection="0"/>
    <xf numFmtId="0" fontId="43" fillId="0" borderId="20" applyNumberFormat="0" applyFont="0" applyFill="0" applyAlignment="0" applyProtection="0"/>
    <xf numFmtId="0" fontId="124" fillId="10" borderId="0" applyNumberFormat="0" applyBorder="0" applyAlignment="0" applyProtection="0"/>
    <xf numFmtId="0" fontId="43" fillId="0" borderId="0" applyFont="0" applyFill="0" applyBorder="0" applyAlignment="0" applyProtection="0"/>
    <xf numFmtId="0" fontId="27" fillId="0" borderId="0"/>
    <xf numFmtId="0" fontId="40" fillId="0" borderId="0" applyFont="0" applyFill="0" applyBorder="0" applyAlignment="0" applyProtection="0"/>
    <xf numFmtId="0" fontId="186" fillId="35" borderId="21" applyNumberFormat="0" applyBorder="0" applyAlignment="0">
      <alignment horizontal="center" vertical="top" wrapText="1"/>
      <protection hidden="1"/>
    </xf>
    <xf numFmtId="0" fontId="36" fillId="0" borderId="0" applyFont="0" applyBorder="0" applyAlignment="0" applyProtection="0"/>
    <xf numFmtId="276"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alignment horizontal="right"/>
    </xf>
    <xf numFmtId="0" fontId="171" fillId="0" borderId="0"/>
    <xf numFmtId="0" fontId="27" fillId="36" borderId="22" applyFont="0" applyFill="0" applyBorder="0" applyAlignment="0" applyProtection="0">
      <alignment horizontal="center"/>
    </xf>
    <xf numFmtId="0" fontId="187" fillId="0" borderId="0" applyNumberFormat="0" applyFill="0" applyBorder="0" applyAlignment="0" applyProtection="0"/>
    <xf numFmtId="0" fontId="2" fillId="0" borderId="0" applyNumberFormat="0" applyFill="0" applyBorder="0" applyAlignment="0" applyProtection="0"/>
    <xf numFmtId="0" fontId="188" fillId="8" borderId="0" applyNumberFormat="0" applyFill="0" applyBorder="0" applyAlignment="0" applyProtection="0">
      <protection locked="0"/>
    </xf>
    <xf numFmtId="0" fontId="3" fillId="0" borderId="0" applyNumberFormat="0" applyFont="0" applyAlignment="0"/>
    <xf numFmtId="0" fontId="69" fillId="0" borderId="0" applyFont="0" applyFill="0" applyBorder="0" applyAlignment="0" applyProtection="0"/>
    <xf numFmtId="0" fontId="27" fillId="0" borderId="0" applyFont="0" applyFill="0" applyBorder="0" applyAlignment="0" applyProtection="0"/>
    <xf numFmtId="0" fontId="189"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69" fillId="0" borderId="0" applyFont="0" applyFill="0" applyBorder="0" applyAlignment="0" applyProtection="0"/>
    <xf numFmtId="0" fontId="27" fillId="0" borderId="0" applyFont="0" applyFill="0" applyBorder="0" applyAlignment="0" applyProtection="0"/>
    <xf numFmtId="0" fontId="69"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175" fontId="27" fillId="0" borderId="0" applyFont="0" applyFill="0" applyBorder="0" applyAlignment="0" applyProtection="0"/>
    <xf numFmtId="188" fontId="23" fillId="0" borderId="0" applyFont="0" applyFill="0" applyBorder="0" applyAlignment="0" applyProtection="0"/>
    <xf numFmtId="0" fontId="190" fillId="0" borderId="0" applyNumberFormat="0" applyFill="0" applyBorder="0" applyAlignment="0"/>
    <xf numFmtId="0" fontId="191" fillId="37" borderId="23" applyFill="0" applyBorder="0" applyProtection="0">
      <alignment horizontal="left"/>
    </xf>
    <xf numFmtId="0" fontId="37" fillId="0" borderId="0" applyNumberFormat="0" applyFill="0" applyBorder="0" applyAlignment="0" applyProtection="0"/>
    <xf numFmtId="0" fontId="82" fillId="23" borderId="24">
      <alignment horizontal="center"/>
    </xf>
    <xf numFmtId="0" fontId="192" fillId="0" borderId="0"/>
    <xf numFmtId="0" fontId="115" fillId="23" borderId="25">
      <alignment horizontal="center"/>
    </xf>
    <xf numFmtId="166" fontId="193" fillId="0" borderId="0">
      <alignment horizontal="right"/>
      <protection locked="0"/>
    </xf>
    <xf numFmtId="0" fontId="194" fillId="0" borderId="0" applyNumberFormat="0" applyFill="0" applyBorder="0" applyAlignment="0" applyProtection="0"/>
    <xf numFmtId="0" fontId="43" fillId="0" borderId="0" applyBorder="0" applyProtection="0"/>
    <xf numFmtId="0" fontId="2" fillId="0" borderId="0"/>
    <xf numFmtId="0" fontId="42" fillId="0" borderId="0" applyNumberFormat="0" applyFill="0" applyBorder="0" applyAlignment="0" applyProtection="0"/>
    <xf numFmtId="0" fontId="195" fillId="0" borderId="0"/>
    <xf numFmtId="0" fontId="196" fillId="0" borderId="3" applyNumberFormat="0" applyFill="0" applyAlignment="0" applyProtection="0"/>
    <xf numFmtId="0" fontId="2" fillId="8" borderId="15" applyNumberFormat="0" applyFill="0" applyBorder="0" applyAlignment="0" applyProtection="0">
      <protection locked="0"/>
    </xf>
    <xf numFmtId="164" fontId="102" fillId="0" borderId="11" applyAlignment="0" applyProtection="0"/>
    <xf numFmtId="0" fontId="73" fillId="0" borderId="4" applyNumberFormat="0" applyFont="0" applyFill="0" applyAlignment="0" applyProtection="0"/>
    <xf numFmtId="0" fontId="73" fillId="0" borderId="26" applyNumberFormat="0" applyFont="0" applyFill="0" applyAlignment="0" applyProtection="0"/>
    <xf numFmtId="0" fontId="122" fillId="0" borderId="3" applyNumberFormat="0" applyFont="0" applyFill="0" applyAlignment="0" applyProtection="0"/>
    <xf numFmtId="0" fontId="122" fillId="0" borderId="21" applyNumberFormat="0" applyFont="0" applyFill="0" applyAlignment="0" applyProtection="0"/>
    <xf numFmtId="0" fontId="122" fillId="0" borderId="15" applyNumberFormat="0" applyFont="0" applyFill="0" applyAlignment="0" applyProtection="0"/>
    <xf numFmtId="0" fontId="122" fillId="0" borderId="11" applyNumberFormat="0" applyFont="0" applyFill="0" applyAlignment="0" applyProtection="0"/>
    <xf numFmtId="0" fontId="197" fillId="0" borderId="14">
      <alignment horizontal="right" vertical="center"/>
    </xf>
    <xf numFmtId="0" fontId="198" fillId="0" borderId="14">
      <alignment horizontal="right" vertical="center"/>
    </xf>
    <xf numFmtId="277" fontId="43" fillId="0" borderId="4" applyNumberFormat="0" applyFont="0" applyFill="0" applyAlignment="0" applyProtection="0">
      <alignment horizontal="center"/>
    </xf>
    <xf numFmtId="0" fontId="2" fillId="0" borderId="27" applyFill="0" applyProtection="0">
      <alignment horizontal="right"/>
    </xf>
    <xf numFmtId="273" fontId="27" fillId="0" borderId="3" applyFill="0" applyAlignment="0" applyProtection="0">
      <alignment horizontal="center"/>
    </xf>
    <xf numFmtId="207" fontId="2" fillId="0" borderId="0" applyFont="0" applyFill="0" applyBorder="0" applyAlignment="0" applyProtection="0"/>
    <xf numFmtId="215" fontId="38" fillId="0" borderId="0" applyFill="0" applyBorder="0" applyAlignment="0" applyProtection="0"/>
    <xf numFmtId="0" fontId="27" fillId="0" borderId="0" applyFont="0" applyFill="0" applyBorder="0" applyProtection="0">
      <alignment horizontal="left"/>
    </xf>
    <xf numFmtId="0" fontId="27" fillId="0" borderId="0" applyFont="0" applyFill="0" applyBorder="0" applyProtection="0">
      <alignment horizontal="left"/>
    </xf>
    <xf numFmtId="0" fontId="27" fillId="0" borderId="0" applyFont="0" applyFill="0" applyBorder="0" applyProtection="0">
      <alignment horizontal="left"/>
    </xf>
    <xf numFmtId="0" fontId="57" fillId="0" borderId="0" applyFont="0" applyFill="0" applyBorder="0" applyAlignment="0" applyProtection="0"/>
    <xf numFmtId="0" fontId="39" fillId="0" borderId="0" applyNumberFormat="0" applyFill="0" applyBorder="0" applyAlignment="0" applyProtection="0"/>
    <xf numFmtId="0" fontId="2" fillId="0" borderId="0"/>
    <xf numFmtId="0" fontId="199" fillId="0" borderId="0"/>
    <xf numFmtId="0" fontId="42" fillId="0" borderId="4">
      <alignment horizontal="center"/>
    </xf>
    <xf numFmtId="0" fontId="2" fillId="0" borderId="0"/>
    <xf numFmtId="0" fontId="27" fillId="0" borderId="0"/>
    <xf numFmtId="0" fontId="23" fillId="0" borderId="0" applyFont="0" applyFill="0" applyBorder="0" applyAlignment="0" applyProtection="0"/>
    <xf numFmtId="0" fontId="27" fillId="0" borderId="0"/>
    <xf numFmtId="0" fontId="3" fillId="38" borderId="0" applyNumberFormat="0" applyFont="0" applyBorder="0" applyAlignment="0" applyProtection="0"/>
    <xf numFmtId="0" fontId="12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 fillId="0" borderId="0" applyFill="0" applyBorder="0" applyAlignment="0"/>
    <xf numFmtId="0" fontId="200" fillId="0" borderId="0" applyFill="0" applyBorder="0" applyAlignment="0"/>
    <xf numFmtId="0" fontId="200" fillId="0" borderId="0" applyFill="0" applyBorder="0" applyAlignment="0"/>
    <xf numFmtId="0" fontId="2" fillId="0" borderId="0" applyFill="0" applyBorder="0" applyAlignment="0"/>
    <xf numFmtId="0" fontId="201" fillId="0" borderId="0"/>
    <xf numFmtId="0" fontId="27" fillId="0" borderId="0"/>
    <xf numFmtId="0" fontId="125" fillId="34" borderId="28" applyNumberFormat="0" applyAlignment="0" applyProtection="0"/>
    <xf numFmtId="0" fontId="27" fillId="0" borderId="0">
      <alignment horizontal="left"/>
    </xf>
    <xf numFmtId="204" fontId="40" fillId="39" borderId="0" applyNumberFormat="0" applyFont="0" applyBorder="0" applyAlignment="0"/>
    <xf numFmtId="0" fontId="40" fillId="0" borderId="0" applyFill="0" applyBorder="0" applyProtection="0"/>
    <xf numFmtId="0" fontId="2" fillId="0" borderId="0" applyFont="0" applyFill="0" applyBorder="0" applyAlignment="0" applyProtection="0"/>
    <xf numFmtId="0" fontId="202" fillId="0" borderId="0"/>
    <xf numFmtId="0" fontId="203" fillId="37" borderId="29"/>
    <xf numFmtId="0" fontId="23" fillId="0" borderId="0"/>
    <xf numFmtId="0" fontId="196" fillId="0" borderId="3" applyNumberFormat="0" applyFont="0" applyFill="0" applyProtection="0">
      <alignment horizontal="centerContinuous" vertical="center"/>
    </xf>
    <xf numFmtId="0" fontId="32" fillId="0" borderId="0" applyFill="0" applyBorder="0" applyProtection="0">
      <alignment horizontal="center"/>
      <protection locked="0"/>
    </xf>
    <xf numFmtId="167" fontId="2" fillId="0" borderId="8" applyFont="0" applyFill="0" applyBorder="0" applyProtection="0">
      <alignment horizontal="right"/>
    </xf>
    <xf numFmtId="0" fontId="97" fillId="0" borderId="0">
      <alignment horizontal="center" wrapText="1"/>
    </xf>
    <xf numFmtId="0" fontId="204" fillId="0" borderId="0"/>
    <xf numFmtId="0" fontId="116" fillId="0" borderId="0"/>
    <xf numFmtId="0" fontId="43" fillId="0" borderId="1" applyFont="0" applyFill="0" applyAlignment="0" applyProtection="0"/>
    <xf numFmtId="0" fontId="126" fillId="40" borderId="30" applyNumberFormat="0" applyAlignment="0" applyProtection="0"/>
    <xf numFmtId="0" fontId="122" fillId="0" borderId="0"/>
    <xf numFmtId="0" fontId="153" fillId="0" borderId="0" applyProtection="0"/>
    <xf numFmtId="0" fontId="27" fillId="0" borderId="0" applyNumberFormat="0" applyFill="0" applyBorder="0" applyAlignment="0" applyProtection="0"/>
    <xf numFmtId="0" fontId="41" fillId="0" borderId="0" applyNumberFormat="0" applyFill="0" applyBorder="0" applyAlignment="0" applyProtection="0"/>
    <xf numFmtId="0" fontId="3" fillId="0" borderId="0" applyNumberFormat="0" applyFill="0" applyBorder="0" applyAlignment="0" applyProtection="0"/>
    <xf numFmtId="0" fontId="205" fillId="0" borderId="3" applyNumberFormat="0" applyFill="0" applyBorder="0" applyAlignment="0" applyProtection="0">
      <alignment horizontal="center"/>
    </xf>
    <xf numFmtId="0" fontId="206" fillId="0" borderId="3" applyNumberFormat="0" applyFill="0" applyProtection="0">
      <alignment horizontal="left" vertical="center"/>
    </xf>
    <xf numFmtId="0" fontId="71" fillId="0" borderId="0" applyNumberFormat="0" applyFill="0" applyBorder="0">
      <alignment horizontal="center" wrapText="1"/>
    </xf>
    <xf numFmtId="0" fontId="2" fillId="0" borderId="0">
      <alignment horizontal="center" wrapText="1"/>
      <protection hidden="1"/>
    </xf>
    <xf numFmtId="0" fontId="162" fillId="0" borderId="3" applyNumberFormat="0" applyFill="0" applyBorder="0" applyProtection="0">
      <alignment horizontal="left" vertical="center"/>
    </xf>
    <xf numFmtId="0" fontId="162" fillId="0" borderId="3" applyNumberFormat="0" applyFill="0" applyBorder="0" applyProtection="0">
      <alignment horizontal="right" vertical="center"/>
    </xf>
    <xf numFmtId="0" fontId="48" fillId="0" borderId="0" applyNumberFormat="0" applyFill="0" applyBorder="0" applyAlignment="0" applyProtection="0">
      <alignment vertical="top"/>
      <protection locked="0"/>
    </xf>
    <xf numFmtId="0" fontId="191" fillId="41" borderId="29" applyNumberFormat="0" applyBorder="0" applyProtection="0">
      <alignment horizontal="center" vertical="center" wrapText="1"/>
    </xf>
    <xf numFmtId="0" fontId="27" fillId="0" borderId="0" applyFill="0" applyBorder="0" applyProtection="0">
      <alignment horizontal="center"/>
    </xf>
    <xf numFmtId="0" fontId="12" fillId="0" borderId="0" applyNumberFormat="0" applyFill="0" applyBorder="0" applyProtection="0">
      <alignment wrapText="1"/>
    </xf>
    <xf numFmtId="0" fontId="13" fillId="0" borderId="0" applyNumberFormat="0" applyFill="0" applyBorder="0" applyProtection="0">
      <alignment wrapText="1"/>
    </xf>
    <xf numFmtId="0" fontId="127" fillId="42" borderId="0"/>
    <xf numFmtId="0" fontId="56" fillId="0" borderId="0" applyBorder="0">
      <alignment horizontal="right"/>
    </xf>
    <xf numFmtId="0" fontId="56" fillId="0" borderId="4" applyAlignment="0">
      <alignment horizontal="right"/>
    </xf>
    <xf numFmtId="0" fontId="25" fillId="0" borderId="0">
      <alignment horizontal="right"/>
    </xf>
    <xf numFmtId="0" fontId="23" fillId="0" borderId="0"/>
    <xf numFmtId="248" fontId="128" fillId="0" borderId="0"/>
    <xf numFmtId="248" fontId="128" fillId="0" borderId="0"/>
    <xf numFmtId="248" fontId="128" fillId="0" borderId="0"/>
    <xf numFmtId="248" fontId="128" fillId="0" borderId="0"/>
    <xf numFmtId="248" fontId="128" fillId="0" borderId="0"/>
    <xf numFmtId="248" fontId="128" fillId="0" borderId="0"/>
    <xf numFmtId="248" fontId="128" fillId="0" borderId="0"/>
    <xf numFmtId="248" fontId="128" fillId="0" borderId="0"/>
    <xf numFmtId="0" fontId="66" fillId="0" borderId="0"/>
    <xf numFmtId="174" fontId="69" fillId="0" borderId="0"/>
    <xf numFmtId="169" fontId="129" fillId="0" borderId="0" applyFont="0" applyBorder="0">
      <alignment horizontal="right"/>
    </xf>
    <xf numFmtId="169" fontId="97" fillId="0" borderId="11"/>
    <xf numFmtId="0" fontId="200" fillId="0" borderId="0" applyFont="0" applyFill="0" applyBorder="0" applyAlignment="0" applyProtection="0"/>
    <xf numFmtId="201" fontId="42" fillId="0" borderId="0" applyFont="0" applyFill="0" applyBorder="0" applyAlignment="0" applyProtection="0"/>
    <xf numFmtId="278" fontId="97" fillId="0" borderId="11"/>
    <xf numFmtId="278" fontId="208" fillId="0" borderId="0" applyFont="0" applyFill="0" applyBorder="0" applyAlignment="0" applyProtection="0"/>
    <xf numFmtId="249" fontId="66" fillId="0" borderId="0"/>
    <xf numFmtId="0" fontId="27" fillId="0" borderId="11"/>
    <xf numFmtId="0" fontId="69" fillId="0" borderId="0" applyFont="0" applyFill="0" applyBorder="0" applyAlignment="0" applyProtection="0"/>
    <xf numFmtId="0" fontId="69" fillId="0" borderId="0" applyFont="0" applyFill="0" applyBorder="0" applyAlignment="0" applyProtection="0"/>
    <xf numFmtId="0" fontId="43" fillId="0" borderId="0" applyFont="0" applyFill="0" applyBorder="0" applyAlignment="0" applyProtection="0">
      <alignment horizontal="right"/>
    </xf>
    <xf numFmtId="0" fontId="43" fillId="0" borderId="0" applyFont="0" applyFill="0" applyBorder="0" applyAlignment="0" applyProtection="0"/>
    <xf numFmtId="279" fontId="43" fillId="0" borderId="0" applyFont="0" applyFill="0" applyBorder="0" applyAlignment="0" applyProtection="0">
      <alignment horizontal="right"/>
    </xf>
    <xf numFmtId="0" fontId="43" fillId="0" borderId="0" applyFont="0" applyFill="0" applyBorder="0" applyAlignment="0" applyProtection="0">
      <alignment horizontal="right"/>
    </xf>
    <xf numFmtId="280" fontId="43" fillId="0" borderId="0" applyFont="0" applyFill="0" applyBorder="0" applyAlignment="0" applyProtection="0"/>
    <xf numFmtId="281" fontId="43" fillId="0" borderId="0" applyFont="0" applyFill="0" applyBorder="0" applyAlignment="0" applyProtection="0">
      <alignment horizontal="right"/>
    </xf>
    <xf numFmtId="279" fontId="209" fillId="0" borderId="0"/>
    <xf numFmtId="0" fontId="43" fillId="0" borderId="0" applyFont="0" applyFill="0" applyBorder="0" applyAlignment="0" applyProtection="0"/>
    <xf numFmtId="0" fontId="2" fillId="0" borderId="0" applyFont="0" applyFill="0" applyBorder="0" applyProtection="0">
      <alignment horizontal="right"/>
    </xf>
    <xf numFmtId="0" fontId="27" fillId="0" borderId="0"/>
    <xf numFmtId="282" fontId="43" fillId="0" borderId="0" applyFont="0" applyFill="0" applyBorder="0" applyAlignment="0" applyProtection="0"/>
    <xf numFmtId="0" fontId="94" fillId="0" borderId="0" applyFont="0" applyFill="0" applyBorder="0" applyAlignment="0" applyProtection="0"/>
    <xf numFmtId="0" fontId="3" fillId="0" borderId="0"/>
    <xf numFmtId="0" fontId="2" fillId="0" borderId="0" applyFont="0" applyFill="0" applyBorder="0" applyAlignment="0" applyProtection="0"/>
    <xf numFmtId="0" fontId="211" fillId="0" borderId="0"/>
    <xf numFmtId="0" fontId="207" fillId="0" borderId="0"/>
    <xf numFmtId="0" fontId="210" fillId="0" borderId="0" applyFont="0" applyFill="0" applyBorder="0" applyAlignment="0" applyProtection="0"/>
    <xf numFmtId="250" fontId="11" fillId="0" borderId="0" applyFont="0" applyFill="0" applyBorder="0" applyAlignment="0" applyProtection="0">
      <alignment horizontal="right"/>
    </xf>
    <xf numFmtId="183" fontId="11" fillId="0" borderId="0" applyFont="0" applyFill="0" applyBorder="0" applyAlignment="0" applyProtection="0"/>
    <xf numFmtId="0" fontId="211" fillId="0" borderId="0"/>
    <xf numFmtId="0" fontId="207" fillId="0" borderId="0"/>
    <xf numFmtId="0" fontId="122" fillId="0" borderId="0" applyFont="0" applyFill="0" applyBorder="0" applyAlignment="0" applyProtection="0"/>
    <xf numFmtId="232" fontId="11" fillId="0" borderId="0" applyFont="0" applyFill="0" applyBorder="0" applyAlignment="0" applyProtection="0"/>
    <xf numFmtId="0" fontId="2" fillId="0" borderId="0" applyFont="0" applyFill="0" applyBorder="0" applyAlignment="0" applyProtection="0"/>
    <xf numFmtId="251" fontId="11" fillId="0" borderId="0" applyFont="0" applyFill="0" applyBorder="0" applyAlignment="0" applyProtection="0"/>
    <xf numFmtId="252" fontId="11" fillId="0" borderId="0" applyFont="0" applyFill="0" applyBorder="0" applyAlignment="0" applyProtection="0"/>
    <xf numFmtId="253" fontId="11" fillId="0" borderId="0" applyFont="0" applyFill="0" applyBorder="0" applyAlignment="0" applyProtection="0"/>
    <xf numFmtId="254" fontId="123" fillId="0" borderId="0"/>
    <xf numFmtId="255" fontId="123" fillId="0" borderId="0"/>
    <xf numFmtId="0" fontId="2" fillId="0" borderId="0" applyFont="0" applyFill="0" applyBorder="0" applyAlignment="0" applyProtection="0"/>
    <xf numFmtId="0" fontId="73" fillId="0" borderId="0" applyFont="0" applyFill="0" applyBorder="0" applyAlignment="0" applyProtection="0"/>
    <xf numFmtId="0" fontId="23" fillId="0" borderId="0">
      <alignment horizontal="right"/>
    </xf>
    <xf numFmtId="0" fontId="212" fillId="0" borderId="0"/>
    <xf numFmtId="0" fontId="213" fillId="43" borderId="0">
      <alignment horizontal="center" vertical="center" wrapText="1"/>
    </xf>
    <xf numFmtId="0" fontId="214" fillId="0" borderId="0" applyFill="0" applyBorder="0" applyAlignment="0" applyProtection="0">
      <protection locked="0"/>
    </xf>
    <xf numFmtId="0" fontId="215" fillId="0" borderId="0" applyFill="0" applyBorder="0">
      <alignment horizontal="left"/>
    </xf>
    <xf numFmtId="0" fontId="216" fillId="0" borderId="0" applyNumberFormat="0" applyAlignment="0">
      <alignment horizontal="left"/>
    </xf>
    <xf numFmtId="0" fontId="43" fillId="0" borderId="31" applyFont="0" applyFill="0" applyBorder="0" applyAlignment="0" applyProtection="0"/>
    <xf numFmtId="0" fontId="217" fillId="0" borderId="0">
      <alignment horizontal="left"/>
    </xf>
    <xf numFmtId="0" fontId="218" fillId="0" borderId="0"/>
    <xf numFmtId="0" fontId="219" fillId="0" borderId="0">
      <alignment horizontal="left"/>
    </xf>
    <xf numFmtId="0" fontId="94" fillId="1" borderId="0" applyFont="0" applyFill="0" applyBorder="0" applyAlignment="0" applyProtection="0">
      <alignment horizontal="right"/>
    </xf>
    <xf numFmtId="0" fontId="43" fillId="0" borderId="3"/>
    <xf numFmtId="165" fontId="93" fillId="0" borderId="0" applyFont="0" applyFill="0" applyBorder="0" applyAlignment="0" applyProtection="0"/>
    <xf numFmtId="0" fontId="23" fillId="0" borderId="0" applyFill="0" applyBorder="0">
      <alignment horizontal="right"/>
      <protection locked="0"/>
    </xf>
    <xf numFmtId="0" fontId="73" fillId="0" borderId="0" applyFont="0" applyFill="0" applyBorder="0" applyAlignment="0" applyProtection="0">
      <protection locked="0"/>
    </xf>
    <xf numFmtId="0" fontId="73" fillId="0" borderId="0" applyFont="0" applyFill="0" applyBorder="0" applyAlignment="0" applyProtection="0">
      <protection locked="0"/>
    </xf>
    <xf numFmtId="0" fontId="27" fillId="0" borderId="0" applyFont="0" applyFill="0" applyBorder="0" applyAlignment="0" applyProtection="0"/>
    <xf numFmtId="256" fontId="66" fillId="0" borderId="0"/>
    <xf numFmtId="0" fontId="97" fillId="0" borderId="11"/>
    <xf numFmtId="0" fontId="2" fillId="0" borderId="0" applyFont="0" applyFill="0" applyBorder="0" applyAlignment="0" applyProtection="0"/>
    <xf numFmtId="0" fontId="44" fillId="0" borderId="0" applyFont="0" applyFill="0" applyBorder="0" applyAlignment="0" applyProtection="0"/>
    <xf numFmtId="0" fontId="97" fillId="0" borderId="11"/>
    <xf numFmtId="0" fontId="220" fillId="0" borderId="0" applyFont="0" applyFill="0" applyBorder="0" applyAlignment="0" applyProtection="0"/>
    <xf numFmtId="167" fontId="45" fillId="0" borderId="32">
      <protection locked="0"/>
    </xf>
    <xf numFmtId="170" fontId="97" fillId="0" borderId="11"/>
    <xf numFmtId="167" fontId="45" fillId="0" borderId="32">
      <protection locked="0"/>
    </xf>
    <xf numFmtId="0" fontId="69" fillId="0" borderId="0" applyFont="0" applyFill="0" applyBorder="0" applyAlignment="0" applyProtection="0"/>
    <xf numFmtId="166" fontId="2" fillId="0" borderId="0"/>
    <xf numFmtId="0" fontId="43" fillId="0" borderId="0" applyFont="0" applyFill="0" applyBorder="0" applyAlignment="0" applyProtection="0">
      <alignment horizontal="right"/>
    </xf>
    <xf numFmtId="0" fontId="155" fillId="0" borderId="18" applyBorder="0"/>
    <xf numFmtId="283" fontId="43" fillId="0" borderId="0" applyFont="0" applyFill="0" applyBorder="0" applyAlignment="0" applyProtection="0">
      <alignment horizontal="right"/>
    </xf>
    <xf numFmtId="284" fontId="43" fillId="0" borderId="0"/>
    <xf numFmtId="0" fontId="43" fillId="0" borderId="0" applyFont="0" applyFill="0" applyBorder="0" applyAlignment="0" applyProtection="0">
      <alignment horizontal="right"/>
    </xf>
    <xf numFmtId="166" fontId="97" fillId="0" borderId="11"/>
    <xf numFmtId="285" fontId="221" fillId="0" borderId="0" applyFont="0" applyFill="0" applyBorder="0" applyAlignment="0" applyProtection="0"/>
    <xf numFmtId="286" fontId="43" fillId="0" borderId="0" applyFont="0" applyFill="0" applyBorder="0" applyAlignment="0" applyProtection="0">
      <alignment horizontal="right"/>
    </xf>
    <xf numFmtId="0" fontId="221" fillId="0" borderId="0" applyFont="0" applyFill="0" applyBorder="0" applyAlignment="0" applyProtection="0"/>
    <xf numFmtId="167" fontId="164" fillId="22" borderId="2">
      <alignment horizontal="right"/>
    </xf>
    <xf numFmtId="225" fontId="23" fillId="0" borderId="0" applyFont="0" applyFill="0" applyBorder="0" applyProtection="0">
      <alignment horizontal="right"/>
    </xf>
    <xf numFmtId="287" fontId="43" fillId="0" borderId="0" applyFont="0" applyFill="0" applyBorder="0" applyAlignment="0" applyProtection="0"/>
    <xf numFmtId="0" fontId="210" fillId="0" borderId="0" applyFont="0" applyFill="0" applyBorder="0" applyAlignment="0" applyProtection="0"/>
    <xf numFmtId="0" fontId="122" fillId="0" borderId="0" applyFont="0" applyFill="0" applyBorder="0" applyAlignment="0" applyProtection="0"/>
    <xf numFmtId="0" fontId="49" fillId="0" borderId="0"/>
    <xf numFmtId="228" fontId="88" fillId="0" borderId="0" applyFill="0" applyBorder="0" applyProtection="0">
      <alignment horizontal="right"/>
    </xf>
    <xf numFmtId="0" fontId="122" fillId="0" borderId="0" applyFont="0" applyFill="0" applyBorder="0" applyAlignment="0" applyProtection="0"/>
    <xf numFmtId="0" fontId="73" fillId="0" borderId="0" applyFont="0" applyFill="0" applyBorder="0" applyAlignment="0" applyProtection="0"/>
    <xf numFmtId="0" fontId="43" fillId="0" borderId="0"/>
    <xf numFmtId="166" fontId="155" fillId="0" borderId="0" applyFill="0" applyBorder="0">
      <alignment horizontal="right"/>
    </xf>
    <xf numFmtId="0" fontId="43" fillId="8" borderId="0" applyFont="0" applyFill="0" applyBorder="0" applyAlignment="0" applyProtection="0">
      <alignment vertical="center"/>
      <protection locked="0"/>
    </xf>
    <xf numFmtId="0" fontId="43" fillId="8" borderId="0" applyFont="0" applyFill="0" applyBorder="0" applyAlignment="0" applyProtection="0">
      <alignment vertical="center"/>
      <protection locked="0"/>
    </xf>
    <xf numFmtId="0" fontId="222" fillId="8" borderId="0" applyFont="0" applyFill="0" applyBorder="0" applyAlignment="0" applyProtection="0">
      <alignment vertical="center"/>
      <protection locked="0"/>
    </xf>
    <xf numFmtId="0" fontId="43" fillId="8" borderId="0" applyFont="0" applyFill="0" applyBorder="0" applyAlignment="0" applyProtection="0">
      <alignment vertical="center"/>
      <protection locked="0"/>
    </xf>
    <xf numFmtId="0" fontId="43" fillId="8" borderId="0" applyFont="0" applyFill="0" applyBorder="0" applyAlignment="0" applyProtection="0">
      <alignment vertical="center"/>
      <protection locked="0"/>
    </xf>
    <xf numFmtId="0" fontId="27" fillId="22" borderId="15">
      <alignment horizontal="right"/>
    </xf>
    <xf numFmtId="0" fontId="27" fillId="22" borderId="15">
      <alignment horizontal="right"/>
    </xf>
    <xf numFmtId="0" fontId="27" fillId="22" borderId="15">
      <alignment horizontal="right"/>
    </xf>
    <xf numFmtId="0" fontId="27" fillId="22" borderId="15">
      <alignment horizontal="right"/>
    </xf>
    <xf numFmtId="0" fontId="57" fillId="0" borderId="0" applyFont="0" applyFill="0" applyBorder="0" applyAlignment="0" applyProtection="0"/>
    <xf numFmtId="0" fontId="46" fillId="0" borderId="0" applyNumberFormat="0">
      <alignment horizontal="right"/>
    </xf>
    <xf numFmtId="167" fontId="223" fillId="0" borderId="0" applyNumberFormat="0" applyFill="0" applyBorder="0" applyAlignment="0"/>
    <xf numFmtId="0" fontId="67" fillId="44" borderId="33"/>
    <xf numFmtId="0" fontId="47" fillId="0" borderId="0"/>
    <xf numFmtId="0" fontId="27" fillId="0" borderId="0" applyFont="0" applyFill="0" applyBorder="0" applyAlignment="0" applyProtection="0"/>
    <xf numFmtId="0" fontId="2" fillId="0" borderId="0" applyFont="0" applyFill="0" applyBorder="0" applyAlignment="0" applyProtection="0"/>
    <xf numFmtId="0" fontId="27" fillId="0" borderId="0" applyFont="0" applyFill="0" applyBorder="0" applyAlignment="0" applyProtection="0"/>
    <xf numFmtId="0" fontId="27" fillId="0" borderId="0" applyFont="0" applyFill="0" applyBorder="0" applyProtection="0"/>
    <xf numFmtId="0" fontId="27" fillId="0" borderId="0" applyFont="0" applyFill="0" applyBorder="0" applyAlignment="0" applyProtection="0"/>
    <xf numFmtId="0" fontId="27" fillId="0" borderId="0" applyFont="0" applyFill="0" applyBorder="0" applyProtection="0"/>
    <xf numFmtId="0" fontId="27" fillId="0" borderId="0" applyFont="0" applyFill="0" applyBorder="0" applyAlignment="0" applyProtection="0"/>
    <xf numFmtId="0" fontId="69" fillId="0" borderId="0" applyFont="0" applyFill="0" applyBorder="0" applyAlignment="0" applyProtection="0"/>
    <xf numFmtId="0" fontId="69" fillId="0" borderId="0" applyFont="0" applyFill="0" applyBorder="0" applyAlignment="0" applyProtection="0"/>
    <xf numFmtId="0" fontId="2" fillId="0" borderId="0" applyFill="0" applyBorder="0">
      <alignment horizontal="right"/>
    </xf>
    <xf numFmtId="0" fontId="27" fillId="0" borderId="0" applyFont="0" applyFill="0" applyBorder="0" applyAlignment="0" applyProtection="0"/>
    <xf numFmtId="0" fontId="27" fillId="0" borderId="0" applyFont="0" applyFill="0" applyBorder="0" applyAlignment="0" applyProtection="0"/>
    <xf numFmtId="0" fontId="27"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43" fillId="0" borderId="0" applyFont="0" applyFill="0" applyBorder="0" applyAlignment="0" applyProtection="0"/>
    <xf numFmtId="0" fontId="2" fillId="0" borderId="0" applyFill="0" applyBorder="0" applyProtection="0">
      <alignment horizontal="center"/>
    </xf>
    <xf numFmtId="0" fontId="3" fillId="0" borderId="0" applyFont="0" applyFill="0" applyBorder="0" applyAlignment="0" applyProtection="0"/>
    <xf numFmtId="0" fontId="6" fillId="0" borderId="0" applyFill="0" applyBorder="0" applyAlignment="0"/>
    <xf numFmtId="0" fontId="43" fillId="0" borderId="0" applyFill="0" applyBorder="0" applyProtection="0">
      <alignment horizontal="center"/>
    </xf>
    <xf numFmtId="0" fontId="155" fillId="0" borderId="0" applyFont="0" applyFill="0" applyBorder="0" applyAlignment="0" applyProtection="0">
      <protection locked="0"/>
    </xf>
    <xf numFmtId="0" fontId="48" fillId="0" borderId="0">
      <alignment horizontal="right"/>
      <protection locked="0"/>
    </xf>
    <xf numFmtId="0" fontId="94" fillId="0" borderId="29" applyFont="0" applyFill="0" applyBorder="0" applyAlignment="0" applyProtection="0">
      <alignment horizontal="right"/>
    </xf>
    <xf numFmtId="0" fontId="42" fillId="0" borderId="0" applyFont="0" applyFill="0" applyBorder="0" applyAlignment="0" applyProtection="0"/>
    <xf numFmtId="0" fontId="2" fillId="0" borderId="0" applyFont="0" applyFill="0" applyBorder="0" applyAlignment="0" applyProtection="0">
      <alignment horizontal="center"/>
    </xf>
    <xf numFmtId="0" fontId="43" fillId="0" borderId="0" applyFont="0" applyFill="0" applyBorder="0" applyAlignment="0" applyProtection="0">
      <alignment horizontal="center"/>
    </xf>
    <xf numFmtId="288" fontId="43" fillId="0" borderId="11" applyFont="0" applyFill="0" applyBorder="0" applyAlignment="0" applyProtection="0">
      <alignment horizontal="center"/>
    </xf>
    <xf numFmtId="0" fontId="43" fillId="0" borderId="11" applyFont="0" applyFill="0" applyBorder="0" applyAlignment="0" applyProtection="0">
      <alignment horizontal="center"/>
    </xf>
    <xf numFmtId="0" fontId="42" fillId="0" borderId="0"/>
    <xf numFmtId="0" fontId="42" fillId="0" borderId="0"/>
    <xf numFmtId="168" fontId="224" fillId="0" borderId="0"/>
    <xf numFmtId="0" fontId="224" fillId="0" borderId="0"/>
    <xf numFmtId="0" fontId="66" fillId="0" borderId="3" applyBorder="0" applyAlignment="0">
      <alignment horizontal="center"/>
    </xf>
    <xf numFmtId="0" fontId="40" fillId="0" borderId="0"/>
    <xf numFmtId="0" fontId="34" fillId="0" borderId="0"/>
    <xf numFmtId="0" fontId="225" fillId="0" borderId="0"/>
    <xf numFmtId="0" fontId="27" fillId="0" borderId="0" applyFont="0" applyFill="0" applyBorder="0" applyAlignment="0" applyProtection="0"/>
    <xf numFmtId="171" fontId="2" fillId="0" borderId="0" applyFont="0" applyFill="0" applyBorder="0" applyAlignment="0" applyProtection="0"/>
    <xf numFmtId="0" fontId="226" fillId="0" borderId="0">
      <protection locked="0"/>
    </xf>
    <xf numFmtId="169" fontId="24" fillId="0" borderId="0"/>
    <xf numFmtId="0" fontId="40" fillId="0" borderId="0" applyProtection="0"/>
    <xf numFmtId="0" fontId="40" fillId="0" borderId="0" applyNumberFormat="0"/>
    <xf numFmtId="0" fontId="40" fillId="0" borderId="0" applyProtection="0"/>
    <xf numFmtId="167" fontId="40" fillId="0" borderId="0" applyFont="0" applyFill="0" applyBorder="0" applyAlignment="0" applyProtection="0"/>
    <xf numFmtId="0" fontId="207" fillId="0" borderId="0"/>
    <xf numFmtId="0" fontId="227" fillId="0" borderId="0" applyFill="0" applyBorder="0" applyProtection="0"/>
    <xf numFmtId="0" fontId="27" fillId="0" borderId="0"/>
    <xf numFmtId="165" fontId="40" fillId="0" borderId="0" applyFill="0" applyBorder="0" applyProtection="0"/>
    <xf numFmtId="0" fontId="155" fillId="0" borderId="0" applyBorder="0" applyProtection="0"/>
    <xf numFmtId="184" fontId="40" fillId="0" borderId="0"/>
    <xf numFmtId="184" fontId="49" fillId="0" borderId="0">
      <protection locked="0"/>
    </xf>
    <xf numFmtId="166" fontId="40" fillId="0" borderId="0"/>
    <xf numFmtId="168" fontId="23" fillId="0" borderId="0"/>
    <xf numFmtId="203" fontId="42" fillId="0" borderId="0" applyFont="0" applyFill="0" applyBorder="0" applyAlignment="0" applyProtection="0"/>
    <xf numFmtId="165" fontId="40" fillId="0" borderId="0" applyFont="0" applyFill="0" applyBorder="0" applyAlignment="0" applyProtection="0"/>
    <xf numFmtId="0" fontId="2" fillId="0" borderId="0" applyFont="0" applyFill="0" applyBorder="0" applyAlignment="0" applyProtection="0"/>
    <xf numFmtId="0" fontId="2" fillId="0" borderId="0" applyNumberFormat="0" applyFill="0" applyBorder="0" applyAlignment="0" applyProtection="0"/>
    <xf numFmtId="0" fontId="43" fillId="0" borderId="20" applyNumberFormat="0" applyFont="0" applyFill="0" applyAlignment="0" applyProtection="0"/>
    <xf numFmtId="168" fontId="50" fillId="0" borderId="0" applyFill="0" applyBorder="0" applyAlignment="0" applyProtection="0"/>
    <xf numFmtId="0" fontId="27" fillId="0" borderId="1" applyNumberFormat="0" applyFill="0" applyAlignment="0" applyProtection="0"/>
    <xf numFmtId="0" fontId="228" fillId="0" borderId="11" applyNumberFormat="0" applyBorder="0"/>
    <xf numFmtId="0" fontId="76" fillId="8" borderId="0">
      <alignment horizontal="right" vertical="center"/>
    </xf>
    <xf numFmtId="0" fontId="229" fillId="0" borderId="34" applyNumberFormat="0" applyAlignment="0" applyProtection="0">
      <alignment vertical="top"/>
    </xf>
    <xf numFmtId="0" fontId="2" fillId="0" borderId="0">
      <protection locked="0"/>
    </xf>
    <xf numFmtId="0" fontId="2" fillId="0" borderId="0">
      <protection locked="0"/>
    </xf>
    <xf numFmtId="0" fontId="200" fillId="0" borderId="0" applyFill="0" applyBorder="0" applyAlignment="0"/>
    <xf numFmtId="0" fontId="2" fillId="0" borderId="0" applyFill="0" applyBorder="0" applyAlignment="0"/>
    <xf numFmtId="0" fontId="200" fillId="0" borderId="0" applyFill="0" applyBorder="0" applyAlignment="0"/>
    <xf numFmtId="0" fontId="200" fillId="0" borderId="0" applyFill="0" applyBorder="0" applyAlignment="0"/>
    <xf numFmtId="0" fontId="2" fillId="0" borderId="0" applyFill="0" applyBorder="0" applyAlignment="0"/>
    <xf numFmtId="0" fontId="230" fillId="0" borderId="0" applyNumberFormat="0" applyAlignment="0">
      <alignment horizontal="left"/>
    </xf>
    <xf numFmtId="0" fontId="231" fillId="0" borderId="29" applyNumberFormat="0" applyBorder="0" applyAlignment="0">
      <protection locked="0"/>
    </xf>
    <xf numFmtId="0" fontId="27" fillId="45" borderId="0"/>
    <xf numFmtId="0" fontId="27" fillId="45" borderId="0"/>
    <xf numFmtId="0" fontId="27" fillId="45" borderId="0"/>
    <xf numFmtId="0" fontId="27" fillId="0" borderId="0"/>
    <xf numFmtId="0" fontId="27" fillId="0" borderId="0"/>
    <xf numFmtId="0" fontId="27" fillId="45" borderId="0"/>
    <xf numFmtId="0" fontId="27" fillId="0" borderId="0" applyFont="0" applyFill="0" applyBorder="0" applyProtection="0">
      <alignment horizontal="left"/>
      <protection locked="0"/>
    </xf>
    <xf numFmtId="0" fontId="27" fillId="0" borderId="0"/>
    <xf numFmtId="0" fontId="27" fillId="0" borderId="0" applyFont="0" applyFill="0" applyBorder="0" applyProtection="0">
      <alignment horizontal="left"/>
      <protection locked="0"/>
    </xf>
    <xf numFmtId="178" fontId="130" fillId="0" borderId="0"/>
    <xf numFmtId="167" fontId="232" fillId="0" borderId="0"/>
    <xf numFmtId="0" fontId="232" fillId="0" borderId="0"/>
    <xf numFmtId="0" fontId="232" fillId="0" borderId="0"/>
    <xf numFmtId="0" fontId="233" fillId="0" borderId="0"/>
    <xf numFmtId="218" fontId="22" fillId="0" borderId="0" applyFont="0" applyFill="0" applyBorder="0" applyAlignment="0" applyProtection="0"/>
    <xf numFmtId="216" fontId="51" fillId="0" borderId="0" applyFont="0" applyFill="0" applyBorder="0" applyAlignment="0" applyProtection="0"/>
    <xf numFmtId="230" fontId="2" fillId="0" borderId="0" applyFont="0" applyFill="0" applyBorder="0" applyAlignment="0" applyProtection="0"/>
    <xf numFmtId="216" fontId="51" fillId="0" borderId="0" applyFont="0" applyFill="0" applyBorder="0" applyAlignment="0" applyProtection="0"/>
    <xf numFmtId="218" fontId="22" fillId="0" borderId="0" applyFont="0" applyFill="0" applyBorder="0" applyAlignment="0" applyProtection="0"/>
    <xf numFmtId="216" fontId="51" fillId="0" borderId="0" applyFont="0" applyFill="0" applyBorder="0" applyAlignment="0" applyProtection="0"/>
    <xf numFmtId="0" fontId="25" fillId="0" borderId="0"/>
    <xf numFmtId="216" fontId="51" fillId="0" borderId="0" applyFont="0" applyFill="0" applyBorder="0" applyAlignment="0" applyProtection="0"/>
    <xf numFmtId="257" fontId="11" fillId="0" borderId="0" applyFont="0" applyFill="0" applyBorder="0" applyAlignment="0" applyProtection="0">
      <protection locked="0"/>
    </xf>
    <xf numFmtId="0" fontId="51" fillId="0" borderId="0" applyFont="0" applyFill="0" applyBorder="0" applyAlignment="0" applyProtection="0"/>
    <xf numFmtId="0" fontId="22" fillId="0" borderId="0" applyFont="0" applyFill="0" applyBorder="0" applyAlignment="0" applyProtection="0"/>
    <xf numFmtId="0" fontId="51" fillId="0" borderId="0" applyFont="0" applyFill="0" applyBorder="0" applyAlignment="0" applyProtection="0"/>
    <xf numFmtId="218" fontId="22" fillId="0" borderId="0" applyFont="0" applyFill="0" applyBorder="0" applyAlignment="0" applyProtection="0"/>
    <xf numFmtId="216" fontId="51" fillId="0" borderId="0" applyFont="0" applyFill="0" applyBorder="0" applyAlignment="0" applyProtection="0"/>
    <xf numFmtId="218" fontId="22" fillId="0" borderId="0" applyFont="0" applyFill="0" applyBorder="0" applyAlignment="0" applyProtection="0"/>
    <xf numFmtId="216" fontId="51" fillId="0" borderId="0" applyFont="0" applyFill="0" applyBorder="0" applyAlignment="0" applyProtection="0"/>
    <xf numFmtId="218" fontId="22" fillId="0" borderId="0" applyFont="0" applyFill="0" applyBorder="0" applyAlignment="0" applyProtection="0"/>
    <xf numFmtId="216" fontId="51" fillId="0" borderId="0" applyFont="0" applyFill="0" applyBorder="0" applyAlignment="0" applyProtection="0"/>
    <xf numFmtId="0" fontId="131" fillId="0" borderId="0" applyNumberFormat="0" applyFill="0" applyBorder="0" applyAlignment="0" applyProtection="0"/>
    <xf numFmtId="0" fontId="27" fillId="46" borderId="11" applyNumberFormat="0" applyFont="0" applyBorder="0" applyAlignment="0" applyProtection="0">
      <alignment horizontal="right"/>
    </xf>
    <xf numFmtId="0" fontId="25" fillId="0" borderId="0" applyFill="0" applyBorder="0">
      <alignment horizontal="right" vertical="top"/>
    </xf>
    <xf numFmtId="0" fontId="226" fillId="0" borderId="0">
      <protection locked="0"/>
    </xf>
    <xf numFmtId="0" fontId="226" fillId="0" borderId="0">
      <protection locked="0"/>
    </xf>
    <xf numFmtId="0" fontId="226" fillId="0" borderId="0">
      <protection locked="0"/>
    </xf>
    <xf numFmtId="0" fontId="226" fillId="0" borderId="0">
      <protection locked="0"/>
    </xf>
    <xf numFmtId="0" fontId="226" fillId="0" borderId="0">
      <protection locked="0"/>
    </xf>
    <xf numFmtId="0" fontId="226" fillId="0" borderId="0">
      <protection locked="0"/>
    </xf>
    <xf numFmtId="0" fontId="226" fillId="0" borderId="0">
      <protection locked="0"/>
    </xf>
    <xf numFmtId="0" fontId="234" fillId="0" borderId="0" applyNumberFormat="0" applyFont="0" applyFill="0" applyBorder="0" applyAlignment="0" applyProtection="0">
      <alignment horizontal="left"/>
    </xf>
    <xf numFmtId="0" fontId="235" fillId="47" borderId="23" applyNumberFormat="0" applyBorder="0" applyAlignment="0">
      <alignment horizontal="centerContinuous" vertical="center"/>
      <protection locked="0"/>
    </xf>
    <xf numFmtId="0" fontId="226" fillId="0" borderId="0">
      <protection locked="0"/>
    </xf>
    <xf numFmtId="0" fontId="236" fillId="0" borderId="0" applyFont="0" applyFill="0" applyBorder="0" applyAlignment="0" applyProtection="0"/>
    <xf numFmtId="0" fontId="226" fillId="0" borderId="0">
      <protection locked="0"/>
    </xf>
    <xf numFmtId="0" fontId="210" fillId="0" borderId="0" applyFont="0" applyFill="0" applyBorder="0" applyAlignment="0" applyProtection="0"/>
    <xf numFmtId="226" fontId="3" fillId="0" borderId="0" applyFont="0" applyFill="0" applyBorder="0" applyProtection="0"/>
    <xf numFmtId="0" fontId="122" fillId="0" borderId="0" applyFont="0" applyFill="0" applyBorder="0" applyAlignment="0" applyProtection="0"/>
    <xf numFmtId="0" fontId="155" fillId="0" borderId="0" applyFill="0" applyBorder="0">
      <alignment horizontal="right"/>
    </xf>
    <xf numFmtId="0" fontId="237" fillId="0" borderId="0">
      <alignment horizontal="left"/>
    </xf>
    <xf numFmtId="0" fontId="238" fillId="0" borderId="0">
      <alignment horizontal="left"/>
    </xf>
    <xf numFmtId="0" fontId="52" fillId="0" borderId="0" applyFill="0" applyBorder="0" applyProtection="0">
      <alignment horizontal="left"/>
    </xf>
    <xf numFmtId="0" fontId="52" fillId="0" borderId="0" applyNumberFormat="0" applyFill="0" applyBorder="0" applyProtection="0">
      <alignment horizontal="left"/>
    </xf>
    <xf numFmtId="0" fontId="52" fillId="0" borderId="0">
      <alignment horizontal="left"/>
    </xf>
    <xf numFmtId="0" fontId="53" fillId="0" borderId="0" applyNumberFormat="0" applyFill="0" applyBorder="0" applyAlignment="0" applyProtection="0"/>
    <xf numFmtId="0" fontId="3" fillId="0" borderId="0" applyNumberFormat="0" applyBorder="0" applyAlignment="0" applyProtection="0"/>
    <xf numFmtId="0" fontId="34" fillId="0" borderId="0"/>
    <xf numFmtId="0" fontId="27" fillId="0" borderId="0"/>
    <xf numFmtId="0" fontId="239" fillId="0" borderId="0"/>
    <xf numFmtId="289" fontId="34" fillId="0" borderId="0"/>
    <xf numFmtId="169" fontId="240" fillId="0" borderId="0"/>
    <xf numFmtId="0" fontId="27" fillId="8" borderId="29" applyFont="0" applyBorder="0" applyAlignment="0" applyProtection="0">
      <alignment vertical="top"/>
    </xf>
    <xf numFmtId="0" fontId="2" fillId="0" borderId="0" applyBorder="0" applyProtection="0"/>
    <xf numFmtId="0" fontId="69" fillId="0" borderId="0" applyFont="0" applyFill="0" applyBorder="0" applyAlignment="0" applyProtection="0"/>
    <xf numFmtId="0" fontId="2" fillId="0" borderId="35" applyFont="0" applyFill="0" applyBorder="0">
      <alignment horizontal="left"/>
    </xf>
    <xf numFmtId="0" fontId="27" fillId="0" borderId="0" applyFont="0" applyFill="0" applyBorder="0" applyAlignment="0" applyProtection="0"/>
    <xf numFmtId="0" fontId="69" fillId="0" borderId="0" applyFont="0" applyFill="0" applyBorder="0" applyAlignment="0" applyProtection="0"/>
    <xf numFmtId="208" fontId="42" fillId="0" borderId="0" applyFont="0" applyBorder="0" applyProtection="0">
      <protection locked="0"/>
    </xf>
    <xf numFmtId="0" fontId="27" fillId="0" borderId="36"/>
    <xf numFmtId="0" fontId="27" fillId="22" borderId="15">
      <alignment horizontal="right"/>
    </xf>
    <xf numFmtId="0" fontId="27" fillId="22" borderId="15">
      <alignment horizontal="right"/>
    </xf>
    <xf numFmtId="0" fontId="27" fillId="22" borderId="15">
      <alignment horizontal="right"/>
    </xf>
    <xf numFmtId="0" fontId="3" fillId="0" borderId="0" applyFill="0" applyBorder="0"/>
    <xf numFmtId="0" fontId="2" fillId="0" borderId="0"/>
    <xf numFmtId="0" fontId="2" fillId="0" borderId="0" applyFill="0" applyBorder="0">
      <alignment horizontal="right" vertical="center"/>
    </xf>
    <xf numFmtId="0" fontId="2" fillId="0" borderId="0" applyFill="0" applyBorder="0">
      <alignment horizontal="right" vertical="center"/>
    </xf>
    <xf numFmtId="0" fontId="2" fillId="0" borderId="0">
      <alignment vertical="center"/>
    </xf>
    <xf numFmtId="0" fontId="40" fillId="0" borderId="0" applyFill="0" applyBorder="0" applyAlignment="0" applyProtection="0">
      <protection locked="0"/>
    </xf>
    <xf numFmtId="0" fontId="241" fillId="0" borderId="0" applyFont="0" applyFill="0" applyBorder="0" applyProtection="0">
      <alignment horizontal="center" wrapText="1"/>
    </xf>
    <xf numFmtId="0" fontId="27" fillId="0" borderId="0" applyFont="0" applyFill="0" applyBorder="0" applyProtection="0">
      <alignment horizontal="right"/>
    </xf>
    <xf numFmtId="0" fontId="242" fillId="0" borderId="0"/>
    <xf numFmtId="0" fontId="95" fillId="0" borderId="0"/>
    <xf numFmtId="0" fontId="96" fillId="0" borderId="0"/>
    <xf numFmtId="0" fontId="132" fillId="11" borderId="0" applyNumberFormat="0" applyBorder="0" applyAlignment="0" applyProtection="0"/>
    <xf numFmtId="0" fontId="243" fillId="0" borderId="37">
      <alignment horizontal="right" vertical="center"/>
    </xf>
    <xf numFmtId="0" fontId="4" fillId="0" borderId="38"/>
    <xf numFmtId="0" fontId="244" fillId="0" borderId="0"/>
    <xf numFmtId="0" fontId="27" fillId="22" borderId="0" applyNumberFormat="0" applyBorder="0" applyAlignment="0" applyProtection="0"/>
    <xf numFmtId="0" fontId="27" fillId="1" borderId="0" applyFont="0" applyFill="0" applyBorder="0" applyAlignment="0" applyProtection="0">
      <alignment horizontal="right"/>
    </xf>
    <xf numFmtId="0" fontId="69" fillId="0" borderId="21" applyFill="0" applyBorder="0" applyProtection="0">
      <alignment horizontal="left"/>
    </xf>
    <xf numFmtId="0" fontId="43" fillId="0" borderId="0" applyNumberFormat="0" applyAlignment="0"/>
    <xf numFmtId="0" fontId="27" fillId="0" borderId="0"/>
    <xf numFmtId="0" fontId="40" fillId="8" borderId="0" applyFill="0" applyAlignment="0">
      <alignment horizontal="right"/>
    </xf>
    <xf numFmtId="0" fontId="43" fillId="0" borderId="0" applyFill="0" applyBorder="0" applyAlignment="0" applyProtection="0"/>
    <xf numFmtId="0" fontId="43" fillId="0" borderId="0" applyAlignment="0">
      <alignment horizontal="left"/>
      <protection locked="0"/>
    </xf>
    <xf numFmtId="0" fontId="245" fillId="8" borderId="0" applyAlignment="0">
      <alignment horizontal="right"/>
    </xf>
    <xf numFmtId="0" fontId="27" fillId="23" borderId="24" applyNumberFormat="0" applyAlignment="0" applyProtection="0"/>
    <xf numFmtId="0" fontId="4" fillId="0" borderId="0" applyBorder="0">
      <alignment horizontal="left"/>
    </xf>
    <xf numFmtId="0" fontId="53" fillId="0" borderId="0">
      <alignment horizontal="right"/>
    </xf>
    <xf numFmtId="0" fontId="246" fillId="0" borderId="0">
      <alignment horizontal="right"/>
    </xf>
    <xf numFmtId="0" fontId="2" fillId="0" borderId="0">
      <alignment vertical="center"/>
    </xf>
    <xf numFmtId="0" fontId="11" fillId="7" borderId="29" applyNumberFormat="0" applyFont="0" applyBorder="0" applyAlignment="0" applyProtection="0"/>
    <xf numFmtId="0" fontId="2" fillId="48" borderId="29" applyNumberFormat="0" applyFont="0" applyAlignment="0"/>
    <xf numFmtId="0" fontId="43" fillId="0" borderId="0" applyFont="0" applyFill="0" applyBorder="0" applyAlignment="0" applyProtection="0">
      <alignment horizontal="right"/>
    </xf>
    <xf numFmtId="0" fontId="247" fillId="7" borderId="0" applyNumberFormat="0" applyFont="0" applyAlignment="0"/>
    <xf numFmtId="178" fontId="133" fillId="49" borderId="39">
      <alignment horizontal="centerContinuous"/>
    </xf>
    <xf numFmtId="0" fontId="248" fillId="50" borderId="0" applyNumberFormat="0" applyBorder="0" applyProtection="0">
      <alignment horizontal="left" vertical="center"/>
    </xf>
    <xf numFmtId="0" fontId="249" fillId="0" borderId="0">
      <alignment horizontal="right"/>
    </xf>
    <xf numFmtId="0" fontId="250" fillId="1" borderId="0" applyNumberFormat="0" applyBorder="0" applyProtection="0">
      <alignment horizontal="left" vertical="center"/>
    </xf>
    <xf numFmtId="0" fontId="2" fillId="0" borderId="0" applyProtection="0">
      <alignment horizontal="right"/>
    </xf>
    <xf numFmtId="0" fontId="251" fillId="0" borderId="0">
      <alignment horizontal="left"/>
    </xf>
    <xf numFmtId="0" fontId="251" fillId="0" borderId="0">
      <alignment horizontal="left"/>
    </xf>
    <xf numFmtId="0" fontId="97" fillId="0" borderId="40" applyNumberFormat="0" applyAlignment="0" applyProtection="0">
      <alignment horizontal="left" vertical="center"/>
    </xf>
    <xf numFmtId="0" fontId="97" fillId="0" borderId="14">
      <alignment horizontal="left" vertical="center"/>
    </xf>
    <xf numFmtId="0" fontId="252" fillId="0" borderId="0">
      <alignment horizontal="center"/>
    </xf>
    <xf numFmtId="0" fontId="253" fillId="0" borderId="0"/>
    <xf numFmtId="0" fontId="2" fillId="0" borderId="0">
      <alignment horizontal="center"/>
    </xf>
    <xf numFmtId="0" fontId="134" fillId="0" borderId="41" applyNumberFormat="0" applyFill="0" applyAlignment="0" applyProtection="0"/>
    <xf numFmtId="0" fontId="255" fillId="0" borderId="0">
      <alignment horizontal="left"/>
    </xf>
    <xf numFmtId="0" fontId="254" fillId="0" borderId="21">
      <alignment horizontal="left" vertical="top"/>
    </xf>
    <xf numFmtId="0" fontId="2" fillId="0" borderId="0" applyProtection="0">
      <alignment horizontal="left"/>
    </xf>
    <xf numFmtId="0" fontId="162" fillId="0" borderId="0">
      <alignment horizontal="left"/>
    </xf>
    <xf numFmtId="0" fontId="2" fillId="0" borderId="0" applyProtection="0">
      <alignment horizontal="left"/>
    </xf>
    <xf numFmtId="0" fontId="135" fillId="0" borderId="0" applyNumberFormat="0" applyFill="0" applyBorder="0" applyAlignment="0" applyProtection="0"/>
    <xf numFmtId="0" fontId="71" fillId="0" borderId="14" applyNumberFormat="0" applyFill="0" applyProtection="0">
      <alignment horizontal="center" vertical="center" wrapText="1"/>
    </xf>
    <xf numFmtId="0" fontId="2" fillId="0" borderId="0" applyFont="0" applyFill="0" applyBorder="0" applyAlignment="0"/>
    <xf numFmtId="170" fontId="4" fillId="26" borderId="29" applyNumberFormat="0" applyAlignment="0" applyProtection="0"/>
    <xf numFmtId="258" fontId="54" fillId="0" borderId="0" applyNumberFormat="0" applyFill="0" applyBorder="0" applyAlignment="0" applyProtection="0"/>
    <xf numFmtId="183" fontId="54" fillId="0" borderId="0" applyNumberFormat="0" applyFill="0" applyBorder="0" applyAlignment="0" applyProtection="0"/>
    <xf numFmtId="0" fontId="27" fillId="48" borderId="29" applyNumberFormat="0" applyBorder="0" applyAlignment="0" applyProtection="0"/>
    <xf numFmtId="0" fontId="9" fillId="0" borderId="0" applyNumberFormat="0" applyFill="0" applyBorder="0" applyAlignment="0" applyProtection="0"/>
    <xf numFmtId="0" fontId="136" fillId="0" borderId="0"/>
    <xf numFmtId="0" fontId="3" fillId="0" borderId="0" applyNumberFormat="0" applyFill="0" applyBorder="0" applyAlignment="0" applyProtection="0"/>
    <xf numFmtId="0" fontId="2" fillId="0" borderId="0" applyNumberFormat="0" applyFill="0" applyBorder="0" applyAlignment="0" applyProtection="0"/>
    <xf numFmtId="206" fontId="40" fillId="0" borderId="0">
      <alignment horizontal="left"/>
    </xf>
    <xf numFmtId="0" fontId="2" fillId="0" borderId="0"/>
    <xf numFmtId="0" fontId="137" fillId="0" borderId="42" applyNumberFormat="0" applyFill="0" applyAlignment="0" applyProtection="0"/>
    <xf numFmtId="259" fontId="11" fillId="0" borderId="0" applyFont="0" applyFill="0" applyBorder="0" applyAlignment="0" applyProtection="0"/>
    <xf numFmtId="0" fontId="138" fillId="0" borderId="18">
      <alignment horizontal="left"/>
      <protection locked="0"/>
    </xf>
    <xf numFmtId="229" fontId="11" fillId="48" borderId="3" applyFont="0" applyFill="0" applyBorder="0" applyAlignment="0" applyProtection="0">
      <alignment horizontal="right"/>
    </xf>
    <xf numFmtId="0" fontId="98" fillId="0" borderId="0" applyNumberFormat="0" applyFill="0" applyBorder="0" applyAlignment="0" applyProtection="0"/>
    <xf numFmtId="0" fontId="99" fillId="0" borderId="0" applyNumberFormat="0" applyFill="0" applyBorder="0" applyAlignment="0" applyProtection="0"/>
    <xf numFmtId="0" fontId="100" fillId="0" borderId="0" applyNumberFormat="0" applyFill="0" applyBorder="0" applyAlignment="0" applyProtection="0"/>
    <xf numFmtId="260" fontId="36" fillId="0" borderId="0" applyFont="0" applyFill="0" applyBorder="0" applyProtection="0">
      <alignment horizontal="right"/>
    </xf>
    <xf numFmtId="261" fontId="2" fillId="0" borderId="0" applyFont="0" applyFill="0" applyBorder="0" applyAlignment="0" applyProtection="0"/>
    <xf numFmtId="262" fontId="2" fillId="0" borderId="0" applyFont="0" applyFill="0" applyBorder="0" applyAlignment="0" applyProtection="0"/>
    <xf numFmtId="0" fontId="101" fillId="0" borderId="0"/>
    <xf numFmtId="263" fontId="2" fillId="0" borderId="0" applyFont="0" applyFill="0" applyBorder="0" applyAlignment="0" applyProtection="0"/>
    <xf numFmtId="264" fontId="2" fillId="0" borderId="0" applyFont="0" applyFill="0" applyBorder="0" applyAlignment="0" applyProtection="0"/>
    <xf numFmtId="217" fontId="22" fillId="0" borderId="0" applyFont="0" applyFill="0" applyBorder="0" applyAlignment="0" applyProtection="0"/>
    <xf numFmtId="0" fontId="43" fillId="0" borderId="0" applyFont="0" applyFill="0" applyBorder="0" applyAlignment="0" applyProtection="0">
      <alignment horizontal="right"/>
    </xf>
    <xf numFmtId="180" fontId="44" fillId="0" borderId="0" applyFont="0" applyFill="0" applyBorder="0" applyAlignment="0" applyProtection="0"/>
    <xf numFmtId="202" fontId="44" fillId="0" borderId="0" applyFont="0" applyFill="0" applyBorder="0" applyAlignment="0" applyProtection="0"/>
    <xf numFmtId="0" fontId="43" fillId="0" borderId="0" applyFont="0" applyFill="0" applyBorder="0" applyAlignment="0" applyProtection="0">
      <alignment horizontal="right"/>
    </xf>
    <xf numFmtId="265" fontId="2" fillId="0" borderId="0" applyFont="0" applyFill="0" applyBorder="0" applyAlignment="0" applyProtection="0"/>
    <xf numFmtId="183" fontId="36" fillId="0" borderId="0" applyFill="0" applyBorder="0" applyAlignment="0" applyProtection="0"/>
    <xf numFmtId="0" fontId="11" fillId="0" borderId="0">
      <alignment horizontal="right"/>
    </xf>
    <xf numFmtId="0" fontId="139" fillId="4" borderId="0" applyNumberFormat="0" applyBorder="0" applyAlignment="0" applyProtection="0"/>
    <xf numFmtId="0" fontId="140" fillId="52" borderId="0"/>
    <xf numFmtId="0" fontId="115" fillId="44" borderId="0"/>
    <xf numFmtId="0" fontId="141" fillId="0" borderId="0"/>
    <xf numFmtId="206" fontId="55" fillId="0" borderId="0"/>
    <xf numFmtId="0" fontId="3" fillId="0" borderId="0" applyFont="0" applyFill="0" applyBorder="0" applyAlignment="0" applyProtection="0"/>
    <xf numFmtId="0" fontId="119" fillId="0" borderId="0"/>
    <xf numFmtId="0" fontId="11" fillId="0" borderId="0"/>
    <xf numFmtId="0" fontId="14" fillId="0" borderId="0"/>
    <xf numFmtId="0" fontId="69" fillId="0" borderId="0"/>
    <xf numFmtId="0" fontId="2" fillId="0" borderId="0"/>
    <xf numFmtId="0" fontId="2" fillId="0" borderId="0"/>
    <xf numFmtId="0" fontId="2" fillId="0" borderId="0"/>
    <xf numFmtId="0" fontId="2" fillId="0" borderId="0"/>
    <xf numFmtId="0" fontId="2" fillId="0" borderId="0"/>
    <xf numFmtId="0" fontId="10" fillId="0" borderId="0"/>
    <xf numFmtId="0" fontId="142" fillId="0" borderId="18"/>
    <xf numFmtId="183" fontId="27" fillId="0" borderId="0"/>
    <xf numFmtId="183" fontId="28" fillId="0" borderId="0">
      <protection locked="0"/>
    </xf>
    <xf numFmtId="176" fontId="3" fillId="0" borderId="0" applyFill="0" applyBorder="0" applyProtection="0">
      <alignment horizontal="right" wrapText="1"/>
    </xf>
    <xf numFmtId="206" fontId="40" fillId="0" borderId="0"/>
    <xf numFmtId="177" fontId="3" fillId="0" borderId="0" applyFill="0" applyBorder="0" applyProtection="0">
      <alignment horizontal="right" wrapText="1"/>
    </xf>
    <xf numFmtId="0" fontId="3" fillId="0" borderId="0" applyNumberFormat="0" applyFill="0" applyBorder="0" applyAlignment="0" applyProtection="0"/>
    <xf numFmtId="0" fontId="2" fillId="0" borderId="0" applyNumberFormat="0" applyFill="0" applyBorder="0" applyAlignment="0" applyProtection="0"/>
    <xf numFmtId="0" fontId="41" fillId="0" borderId="0" applyNumberFormat="0" applyFill="0" applyBorder="0" applyAlignment="0" applyProtection="0"/>
    <xf numFmtId="0" fontId="56"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43" fillId="0" borderId="0">
      <alignment horizontal="left" vertical="top"/>
      <protection locked="0"/>
    </xf>
    <xf numFmtId="0" fontId="144" fillId="34" borderId="43" applyNumberFormat="0" applyAlignment="0" applyProtection="0"/>
    <xf numFmtId="258" fontId="145" fillId="0" borderId="0" applyFont="0" applyFill="0" applyBorder="0" applyAlignment="0" applyProtection="0"/>
    <xf numFmtId="0" fontId="74" fillId="0" borderId="0" applyProtection="0">
      <alignment horizontal="left"/>
    </xf>
    <xf numFmtId="0" fontId="74" fillId="0" borderId="0" applyFill="0" applyBorder="0" applyProtection="0">
      <alignment horizontal="left"/>
    </xf>
    <xf numFmtId="0" fontId="75" fillId="0" borderId="0" applyFill="0" applyBorder="0" applyProtection="0">
      <alignment horizontal="left"/>
    </xf>
    <xf numFmtId="0" fontId="2" fillId="0" borderId="0" applyProtection="0">
      <alignment horizontal="right" vertical="center"/>
    </xf>
    <xf numFmtId="183" fontId="66" fillId="0" borderId="0"/>
    <xf numFmtId="0" fontId="146" fillId="0" borderId="3" applyFill="0" applyProtection="0">
      <alignment vertical="center"/>
    </xf>
    <xf numFmtId="205" fontId="2" fillId="0" borderId="0" applyFont="0" applyFill="0" applyBorder="0" applyAlignment="0" applyProtection="0"/>
    <xf numFmtId="193" fontId="25" fillId="0" borderId="0" applyFont="0" applyFill="0" applyBorder="0" applyAlignment="0" applyProtection="0">
      <alignment horizontal="right"/>
    </xf>
    <xf numFmtId="0" fontId="2" fillId="0" borderId="0" applyFont="0" applyFill="0" applyBorder="0" applyAlignment="0" applyProtection="0"/>
    <xf numFmtId="0" fontId="57" fillId="0" borderId="0" applyFont="0" applyFill="0" applyBorder="0" applyAlignment="0" applyProtection="0"/>
    <xf numFmtId="173" fontId="57" fillId="0" borderId="0" applyFont="0" applyFill="0" applyBorder="0" applyAlignment="0" applyProtection="0"/>
    <xf numFmtId="0" fontId="2" fillId="0" borderId="0" applyFont="0" applyFill="0" applyBorder="0" applyAlignment="0" applyProtection="0"/>
    <xf numFmtId="219" fontId="40" fillId="0" borderId="0" applyFont="0" applyFill="0" applyBorder="0" applyProtection="0">
      <alignment horizontal="right"/>
    </xf>
    <xf numFmtId="266" fontId="11" fillId="0" borderId="0" applyFont="0" applyFill="0" applyBorder="0" applyAlignment="0" applyProtection="0"/>
    <xf numFmtId="173" fontId="40" fillId="0" borderId="0"/>
    <xf numFmtId="173" fontId="49" fillId="0" borderId="0"/>
    <xf numFmtId="0" fontId="40" fillId="0" borderId="0"/>
    <xf numFmtId="0" fontId="49" fillId="0" borderId="0">
      <protection locked="0"/>
    </xf>
    <xf numFmtId="267" fontId="11" fillId="0" borderId="0" applyFont="0" applyFill="0" applyBorder="0" applyAlignment="0" applyProtection="0"/>
    <xf numFmtId="268" fontId="123" fillId="0" borderId="0"/>
    <xf numFmtId="0" fontId="147" fillId="0" borderId="0"/>
    <xf numFmtId="0" fontId="147" fillId="0" borderId="44">
      <alignment horizontal="right"/>
    </xf>
    <xf numFmtId="0" fontId="93" fillId="0" borderId="0" applyNumberFormat="0" applyFont="0" applyFill="0" applyBorder="0" applyAlignment="0" applyProtection="0">
      <alignment horizontal="left"/>
    </xf>
    <xf numFmtId="0" fontId="93" fillId="0" borderId="0" applyFont="0" applyFill="0" applyBorder="0" applyAlignment="0" applyProtection="0"/>
    <xf numFmtId="0" fontId="93" fillId="0" borderId="0" applyFont="0" applyFill="0" applyBorder="0" applyAlignment="0" applyProtection="0"/>
    <xf numFmtId="0" fontId="102" fillId="0" borderId="4">
      <alignment horizontal="center"/>
    </xf>
    <xf numFmtId="0" fontId="93" fillId="0" borderId="0" applyFont="0" applyFill="0" applyBorder="0" applyAlignment="0" applyProtection="0"/>
    <xf numFmtId="0" fontId="93" fillId="53" borderId="0" applyNumberFormat="0" applyFont="0" applyBorder="0" applyAlignment="0" applyProtection="0"/>
    <xf numFmtId="0" fontId="148" fillId="0" borderId="18" applyNumberFormat="0" applyFill="0" applyBorder="0" applyAlignment="0" applyProtection="0">
      <protection hidden="1"/>
    </xf>
    <xf numFmtId="183" fontId="149" fillId="0" borderId="0">
      <alignment horizontal="right"/>
    </xf>
    <xf numFmtId="0" fontId="71" fillId="0" borderId="0" applyNumberFormat="0" applyFill="0" applyBorder="0">
      <alignment vertical="top"/>
    </xf>
    <xf numFmtId="0" fontId="26" fillId="0" borderId="0"/>
    <xf numFmtId="269" fontId="2" fillId="0" borderId="0" applyFill="0" applyBorder="0">
      <alignment horizontal="right"/>
      <protection hidden="1"/>
    </xf>
    <xf numFmtId="0" fontId="59" fillId="54" borderId="0"/>
    <xf numFmtId="0" fontId="23" fillId="44" borderId="0" applyNumberFormat="0" applyFont="0" applyBorder="0" applyAlignment="0" applyProtection="0"/>
    <xf numFmtId="180" fontId="69" fillId="0" borderId="0"/>
    <xf numFmtId="0" fontId="103" fillId="0" borderId="0" applyNumberFormat="0" applyFill="0" applyBorder="0" applyAlignment="0" applyProtection="0"/>
    <xf numFmtId="0" fontId="104" fillId="0" borderId="0" applyNumberFormat="0" applyFill="0" applyBorder="0" applyAlignment="0"/>
    <xf numFmtId="0" fontId="17" fillId="0" borderId="0" applyNumberFormat="0" applyFill="0" applyBorder="0" applyAlignment="0"/>
    <xf numFmtId="0" fontId="105" fillId="0" borderId="0" applyNumberFormat="0" applyFill="0" applyBorder="0" applyAlignment="0"/>
    <xf numFmtId="168" fontId="16" fillId="0" borderId="0" applyFill="0" applyBorder="0" applyAlignment="0" applyProtection="0"/>
    <xf numFmtId="0" fontId="10" fillId="0" borderId="0"/>
    <xf numFmtId="0" fontId="58" fillId="0" borderId="0" applyNumberFormat="0" applyFill="0" applyBorder="0" applyProtection="0"/>
    <xf numFmtId="0" fontId="59" fillId="54" borderId="0" applyNumberFormat="0" applyBorder="0" applyProtection="0"/>
    <xf numFmtId="0" fontId="60" fillId="44" borderId="0" applyNumberFormat="0" applyBorder="0" applyProtection="0"/>
    <xf numFmtId="0" fontId="61" fillId="0" borderId="0" applyNumberFormat="0" applyFill="0" applyBorder="0" applyProtection="0"/>
    <xf numFmtId="0" fontId="60" fillId="0" borderId="0" applyNumberFormat="0" applyFill="0" applyBorder="0" applyProtection="0"/>
    <xf numFmtId="0" fontId="62" fillId="0" borderId="0" applyNumberFormat="0" applyFill="0" applyBorder="0" applyProtection="0"/>
    <xf numFmtId="0" fontId="60" fillId="0" borderId="0" applyNumberFormat="0" applyFill="0" applyBorder="0" applyProtection="0">
      <alignment wrapText="1"/>
    </xf>
    <xf numFmtId="0" fontId="63" fillId="0" borderId="0" applyNumberFormat="0" applyFill="0" applyBorder="0" applyProtection="0"/>
    <xf numFmtId="186" fontId="3" fillId="0" borderId="0" applyFill="0" applyBorder="0" applyProtection="0">
      <alignment horizontal="right" wrapText="1"/>
    </xf>
    <xf numFmtId="0" fontId="3" fillId="0" borderId="0" applyFill="0" applyBorder="0" applyProtection="0">
      <alignment wrapText="1"/>
    </xf>
    <xf numFmtId="0" fontId="3" fillId="0" borderId="0" applyNumberFormat="0" applyFill="0" applyBorder="0" applyProtection="0">
      <alignment horizontal="left" vertical="top" wrapText="1"/>
    </xf>
    <xf numFmtId="0" fontId="12" fillId="0" borderId="0" applyNumberFormat="0" applyFill="0" applyBorder="0" applyProtection="0">
      <alignment horizontal="left" vertical="top" wrapText="1"/>
    </xf>
    <xf numFmtId="197" fontId="64" fillId="0" borderId="0" applyFill="0" applyBorder="0" applyProtection="0">
      <alignment horizontal="center" wrapText="1"/>
    </xf>
    <xf numFmtId="196" fontId="64" fillId="0" borderId="0" applyFill="0" applyBorder="0" applyProtection="0">
      <alignment horizontal="right" wrapText="1"/>
    </xf>
    <xf numFmtId="194" fontId="64" fillId="0" borderId="0" applyFill="0" applyBorder="0" applyProtection="0">
      <alignment horizontal="right" wrapText="1"/>
    </xf>
    <xf numFmtId="198" fontId="64" fillId="0" borderId="0" applyFill="0" applyBorder="0" applyProtection="0">
      <alignment horizontal="right" wrapText="1"/>
    </xf>
    <xf numFmtId="0" fontId="64" fillId="0" borderId="0" applyFill="0" applyBorder="0" applyProtection="0">
      <alignment horizontal="center" wrapText="1"/>
    </xf>
    <xf numFmtId="195" fontId="64" fillId="0" borderId="0" applyFill="0" applyBorder="0" applyProtection="0">
      <alignment horizontal="right"/>
    </xf>
    <xf numFmtId="199" fontId="64" fillId="0" borderId="0" applyFill="0" applyBorder="0" applyProtection="0">
      <alignment horizontal="right"/>
    </xf>
    <xf numFmtId="0" fontId="64" fillId="0" borderId="0" applyFill="0" applyBorder="0" applyProtection="0">
      <alignment horizontal="right"/>
    </xf>
    <xf numFmtId="0" fontId="64" fillId="0" borderId="0" applyFill="0" applyBorder="0" applyProtection="0">
      <alignment wrapText="1"/>
    </xf>
    <xf numFmtId="0" fontId="12" fillId="0" borderId="44" applyNumberFormat="0" applyFill="0" applyProtection="0">
      <alignment wrapText="1"/>
    </xf>
    <xf numFmtId="0" fontId="65" fillId="0" borderId="0" applyNumberFormat="0" applyFill="0" applyBorder="0" applyProtection="0">
      <alignment wrapText="1"/>
    </xf>
    <xf numFmtId="0" fontId="12" fillId="0" borderId="44" applyNumberFormat="0" applyFill="0" applyProtection="0">
      <alignment horizontal="center" wrapText="1"/>
    </xf>
    <xf numFmtId="200" fontId="12" fillId="0" borderId="0" applyFill="0" applyBorder="0" applyProtection="0">
      <alignment horizontal="center" wrapText="1"/>
    </xf>
    <xf numFmtId="0" fontId="13" fillId="0" borderId="0" applyNumberFormat="0" applyFill="0" applyBorder="0" applyProtection="0">
      <alignment horizontal="justify" wrapText="1"/>
    </xf>
    <xf numFmtId="0" fontId="12" fillId="0" borderId="0" applyNumberFormat="0" applyFill="0" applyBorder="0" applyProtection="0">
      <alignment horizontal="centerContinuous" wrapText="1"/>
    </xf>
    <xf numFmtId="0" fontId="3" fillId="0" borderId="0" applyNumberFormat="0" applyFill="0" applyBorder="0" applyProtection="0">
      <alignment horizontal="left"/>
    </xf>
    <xf numFmtId="0" fontId="12" fillId="0" borderId="0" applyNumberFormat="0" applyFill="0" applyBorder="0" applyAlignment="0" applyProtection="0"/>
    <xf numFmtId="0" fontId="1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2" fillId="0" borderId="0" applyNumberFormat="0" applyFill="0" applyBorder="0" applyAlignment="0" applyProtection="0"/>
    <xf numFmtId="0" fontId="12"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3" fillId="0" borderId="0" applyNumberFormat="0" applyFill="0" applyBorder="0" applyAlignment="0" applyProtection="0"/>
    <xf numFmtId="0" fontId="150" fillId="0" borderId="0"/>
    <xf numFmtId="0" fontId="151" fillId="0" borderId="0"/>
    <xf numFmtId="0" fontId="2" fillId="0" borderId="11" applyNumberFormat="0" applyFont="0" applyFill="0" applyAlignment="0" applyProtection="0"/>
    <xf numFmtId="0" fontId="152" fillId="0" borderId="0"/>
    <xf numFmtId="0" fontId="33" fillId="0" borderId="0" applyFill="0" applyBorder="0" applyProtection="0">
      <alignment horizontal="center" vertical="center"/>
    </xf>
    <xf numFmtId="0" fontId="2" fillId="0" borderId="0" applyBorder="0" applyProtection="0">
      <alignment vertical="center"/>
    </xf>
    <xf numFmtId="0" fontId="2" fillId="0" borderId="3" applyBorder="0" applyProtection="0">
      <alignment horizontal="right" vertical="center"/>
    </xf>
    <xf numFmtId="0" fontId="2" fillId="55" borderId="0" applyBorder="0" applyProtection="0">
      <alignment horizontal="centerContinuous" vertical="center"/>
    </xf>
    <xf numFmtId="0" fontId="2" fillId="56" borderId="3" applyBorder="0" applyProtection="0">
      <alignment horizontal="centerContinuous" vertical="center"/>
    </xf>
    <xf numFmtId="0" fontId="33" fillId="0" borderId="0" applyFill="0" applyBorder="0" applyProtection="0"/>
    <xf numFmtId="0" fontId="2" fillId="0" borderId="0" applyFill="0" applyBorder="0" applyProtection="0">
      <alignment horizontal="left"/>
    </xf>
    <xf numFmtId="0" fontId="52" fillId="0" borderId="21" applyFill="0" applyBorder="0" applyProtection="0">
      <alignment horizontal="left" vertical="top"/>
    </xf>
    <xf numFmtId="173" fontId="2" fillId="0" borderId="0" applyNumberFormat="0" applyFill="0" applyBorder="0">
      <alignment horizontal="left"/>
    </xf>
    <xf numFmtId="173" fontId="2" fillId="0" borderId="0" applyNumberFormat="0" applyFill="0" applyBorder="0">
      <alignment horizontal="right"/>
    </xf>
    <xf numFmtId="173" fontId="2" fillId="0" borderId="0" applyNumberFormat="0" applyFill="0" applyBorder="0">
      <alignment horizontal="right"/>
    </xf>
    <xf numFmtId="0" fontId="2" fillId="8" borderId="45" applyNumberFormat="0" applyFont="0" applyFill="0" applyAlignment="0" applyProtection="0">
      <protection locked="0"/>
    </xf>
    <xf numFmtId="0" fontId="60" fillId="0" borderId="0">
      <alignment vertical="top"/>
    </xf>
    <xf numFmtId="0" fontId="62" fillId="0" borderId="0"/>
    <xf numFmtId="0" fontId="61" fillId="0" borderId="0">
      <alignment vertical="top"/>
    </xf>
    <xf numFmtId="0" fontId="65" fillId="0" borderId="0" applyNumberFormat="0" applyFill="0" applyBorder="0" applyAlignment="0" applyProtection="0"/>
    <xf numFmtId="0" fontId="106" fillId="0" borderId="0"/>
    <xf numFmtId="0" fontId="11" fillId="0" borderId="0" applyNumberFormat="0" applyFill="0" applyBorder="0" applyAlignment="0" applyProtection="0"/>
    <xf numFmtId="0" fontId="66" fillId="0" borderId="0" applyNumberFormat="0" applyFill="0" applyBorder="0" applyAlignment="0" applyProtection="0"/>
    <xf numFmtId="0" fontId="153" fillId="0" borderId="0"/>
    <xf numFmtId="0" fontId="154" fillId="0" borderId="0" applyNumberFormat="0" applyFill="0" applyBorder="0" applyAlignment="0" applyProtection="0"/>
    <xf numFmtId="0" fontId="13" fillId="0" borderId="0" applyNumberFormat="0" applyFill="0" applyBorder="0" applyAlignment="0" applyProtection="0"/>
    <xf numFmtId="0" fontId="2" fillId="0" borderId="0" applyNumberFormat="0" applyFill="0" applyBorder="0" applyAlignment="0" applyProtection="0"/>
    <xf numFmtId="0" fontId="2" fillId="0" borderId="0">
      <alignment horizontal="center"/>
    </xf>
    <xf numFmtId="206" fontId="2" fillId="0" borderId="0">
      <alignment horizontal="centerContinuous"/>
    </xf>
    <xf numFmtId="206" fontId="2" fillId="0" borderId="46">
      <alignment horizontal="centerContinuous"/>
    </xf>
    <xf numFmtId="206" fontId="2" fillId="0" borderId="0">
      <alignment horizontal="centerContinuous"/>
      <protection locked="0"/>
    </xf>
    <xf numFmtId="206" fontId="2" fillId="0" borderId="0">
      <alignment horizontal="left"/>
    </xf>
    <xf numFmtId="0" fontId="58" fillId="0" borderId="0">
      <alignment vertical="top"/>
    </xf>
    <xf numFmtId="0" fontId="2" fillId="0" borderId="0" applyNumberFormat="0" applyFill="0" applyBorder="0" applyAlignment="0" applyProtection="0"/>
    <xf numFmtId="0" fontId="2" fillId="0" borderId="0" applyNumberFormat="0" applyFill="0" applyBorder="0" applyAlignment="0" applyProtection="0"/>
    <xf numFmtId="0" fontId="33" fillId="0" borderId="14">
      <alignment horizontal="right" wrapText="1"/>
    </xf>
    <xf numFmtId="0" fontId="155" fillId="34" borderId="18"/>
    <xf numFmtId="0" fontId="156" fillId="0" borderId="47" applyNumberFormat="0" applyFill="0" applyAlignment="0" applyProtection="0"/>
    <xf numFmtId="204" fontId="2" fillId="0" borderId="0">
      <alignment horizontal="left"/>
      <protection locked="0"/>
    </xf>
    <xf numFmtId="0" fontId="157" fillId="0" borderId="0" applyNumberFormat="0" applyFill="0" applyBorder="0" applyAlignment="0" applyProtection="0"/>
    <xf numFmtId="0" fontId="158" fillId="0" borderId="0">
      <alignment horizontal="right"/>
    </xf>
    <xf numFmtId="191" fontId="67" fillId="0" borderId="0" applyFont="0" applyFill="0" applyBorder="0" applyAlignment="0" applyProtection="0"/>
    <xf numFmtId="192" fontId="67" fillId="0" borderId="0" applyFont="0" applyFill="0" applyBorder="0" applyAlignment="0" applyProtection="0"/>
    <xf numFmtId="245" fontId="69"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0" fontId="94" fillId="0" borderId="0"/>
    <xf numFmtId="181" fontId="2" fillId="0" borderId="0">
      <alignment horizontal="right"/>
      <protection locked="0"/>
    </xf>
    <xf numFmtId="173" fontId="2" fillId="0" borderId="0" applyFont="0" applyFill="0" applyBorder="0" applyAlignment="0" applyProtection="0"/>
    <xf numFmtId="0" fontId="1" fillId="0" borderId="0"/>
    <xf numFmtId="0" fontId="265" fillId="0" borderId="0">
      <alignment horizontal="left" vertical="center"/>
    </xf>
    <xf numFmtId="0" fontId="266" fillId="0" borderId="0">
      <alignment horizontal="left" vertical="center"/>
    </xf>
    <xf numFmtId="0" fontId="267" fillId="0" borderId="0">
      <alignment horizontal="left"/>
    </xf>
    <xf numFmtId="0" fontId="268" fillId="0" borderId="0">
      <alignment horizontal="right" vertical="top" wrapText="1"/>
    </xf>
    <xf numFmtId="0" fontId="269" fillId="0" borderId="0">
      <alignment horizontal="right" vertical="top" wrapText="1"/>
    </xf>
    <xf numFmtId="0" fontId="266" fillId="0" borderId="0">
      <alignment horizontal="right" vertical="center"/>
    </xf>
    <xf numFmtId="0" fontId="270" fillId="0" borderId="0">
      <alignment horizontal="right" vertical="center"/>
    </xf>
    <xf numFmtId="0" fontId="268" fillId="0" borderId="0">
      <alignment horizontal="left" vertical="center" indent="1"/>
    </xf>
    <xf numFmtId="0" fontId="268" fillId="0" borderId="0">
      <alignment horizontal="right" vertical="center"/>
    </xf>
    <xf numFmtId="0" fontId="271" fillId="0" borderId="0">
      <alignment horizontal="left" vertical="center" indent="1"/>
    </xf>
    <xf numFmtId="0" fontId="271" fillId="0" borderId="0">
      <alignment horizontal="right" vertical="center"/>
    </xf>
    <xf numFmtId="44" fontId="2" fillId="0" borderId="0" applyFont="0" applyFill="0" applyBorder="0" applyAlignment="0" applyProtection="0"/>
    <xf numFmtId="0" fontId="278" fillId="0" borderId="0" applyNumberFormat="0" applyFill="0" applyBorder="0" applyAlignment="0" applyProtection="0">
      <protection locked="0"/>
    </xf>
  </cellStyleXfs>
  <cellXfs count="594">
    <xf numFmtId="0" fontId="0" fillId="0" borderId="0" xfId="0" applyProtection="1"/>
    <xf numFmtId="0" fontId="6" fillId="0" borderId="0" xfId="1505" applyFont="1"/>
    <xf numFmtId="0" fontId="7" fillId="0" borderId="0" xfId="1505" applyFont="1"/>
    <xf numFmtId="0" fontId="8" fillId="0" borderId="0" xfId="1505" applyFont="1" applyAlignment="1">
      <alignment horizontal="center"/>
    </xf>
    <xf numFmtId="0" fontId="8" fillId="0" borderId="0" xfId="1505" applyFont="1"/>
    <xf numFmtId="0" fontId="8" fillId="0" borderId="0" xfId="1505" applyFont="1" applyAlignment="1">
      <alignment horizontal="left"/>
    </xf>
    <xf numFmtId="175" fontId="6" fillId="0" borderId="0" xfId="1505" applyNumberFormat="1" applyFont="1"/>
    <xf numFmtId="175" fontId="9" fillId="0" borderId="0" xfId="1505" applyNumberFormat="1" applyFont="1"/>
    <xf numFmtId="172" fontId="8" fillId="0" borderId="0" xfId="1505" applyNumberFormat="1" applyFont="1"/>
    <xf numFmtId="172" fontId="6" fillId="0" borderId="0" xfId="1505" applyNumberFormat="1" applyFont="1"/>
    <xf numFmtId="0" fontId="6" fillId="0" borderId="0" xfId="921" applyFont="1" applyProtection="1"/>
    <xf numFmtId="0" fontId="8" fillId="0" borderId="0" xfId="921" applyFont="1" applyProtection="1"/>
    <xf numFmtId="172" fontId="8" fillId="0" borderId="0" xfId="921" applyNumberFormat="1" applyFont="1" applyBorder="1" applyProtection="1"/>
    <xf numFmtId="0" fontId="4" fillId="0" borderId="0" xfId="921" applyFont="1" applyProtection="1"/>
    <xf numFmtId="0" fontId="6" fillId="0" borderId="0" xfId="921" applyFont="1" applyFill="1" applyBorder="1" applyProtection="1"/>
    <xf numFmtId="0" fontId="6" fillId="0" borderId="0" xfId="921" applyFont="1" applyAlignment="1" applyProtection="1">
      <alignment horizontal="left"/>
    </xf>
    <xf numFmtId="0" fontId="6" fillId="0" borderId="0" xfId="1505" applyFont="1" applyAlignment="1">
      <alignment horizontal="right"/>
    </xf>
    <xf numFmtId="0" fontId="68" fillId="0" borderId="0" xfId="1505" applyFont="1"/>
    <xf numFmtId="0" fontId="14" fillId="0" borderId="0" xfId="1505"/>
    <xf numFmtId="0" fontId="70" fillId="0" borderId="0" xfId="1505" applyFont="1"/>
    <xf numFmtId="0" fontId="4" fillId="0" borderId="0" xfId="1505" applyFont="1"/>
    <xf numFmtId="173" fontId="10" fillId="0" borderId="0" xfId="1536" applyNumberFormat="1" applyFont="1" applyFill="1" applyBorder="1" applyAlignment="1" applyProtection="1">
      <alignment horizontal="center"/>
    </xf>
    <xf numFmtId="173" fontId="10" fillId="0" borderId="0" xfId="1536" applyNumberFormat="1" applyFont="1" applyFill="1" applyBorder="1" applyProtection="1"/>
    <xf numFmtId="173" fontId="10" fillId="0" borderId="0" xfId="1536" applyNumberFormat="1" applyFont="1" applyAlignment="1" applyProtection="1">
      <alignment horizontal="center"/>
    </xf>
    <xf numFmtId="184" fontId="4" fillId="0" borderId="0" xfId="1505" applyNumberFormat="1" applyFont="1"/>
    <xf numFmtId="0" fontId="7" fillId="0" borderId="0" xfId="1505" applyFont="1" applyAlignment="1">
      <alignment horizontal="center"/>
    </xf>
    <xf numFmtId="179" fontId="7" fillId="0" borderId="0" xfId="1505" applyNumberFormat="1" applyFont="1"/>
    <xf numFmtId="0" fontId="7" fillId="0" borderId="0" xfId="921" applyFont="1" applyProtection="1"/>
    <xf numFmtId="0" fontId="8" fillId="0" borderId="0" xfId="921" applyFont="1" applyFill="1" applyBorder="1" applyProtection="1"/>
    <xf numFmtId="172" fontId="4" fillId="0" borderId="0" xfId="921" applyNumberFormat="1" applyFont="1" applyFill="1" applyBorder="1" applyProtection="1"/>
    <xf numFmtId="173" fontId="10" fillId="0" borderId="0" xfId="1536" applyNumberFormat="1" applyFont="1" applyFill="1" applyBorder="1" applyAlignment="1" applyProtection="1">
      <alignment horizontal="right"/>
    </xf>
    <xf numFmtId="185" fontId="4" fillId="0" borderId="0" xfId="921" applyNumberFormat="1" applyFont="1" applyBorder="1" applyAlignment="1" applyProtection="1">
      <alignment horizontal="center"/>
    </xf>
    <xf numFmtId="0" fontId="18" fillId="0" borderId="0" xfId="921" applyFont="1" applyFill="1" applyBorder="1" applyProtection="1"/>
    <xf numFmtId="0" fontId="4" fillId="27" borderId="0" xfId="1505" applyFont="1" applyFill="1"/>
    <xf numFmtId="0" fontId="7" fillId="27" borderId="0" xfId="1505" applyFont="1" applyFill="1"/>
    <xf numFmtId="172" fontId="18" fillId="27" borderId="0" xfId="1505" applyNumberFormat="1" applyFont="1" applyFill="1"/>
    <xf numFmtId="184" fontId="7" fillId="27" borderId="0" xfId="1505" applyNumberFormat="1" applyFont="1" applyFill="1"/>
    <xf numFmtId="0" fontId="7" fillId="27" borderId="0" xfId="1505" applyFont="1" applyFill="1" applyAlignment="1">
      <alignment horizontal="center"/>
    </xf>
    <xf numFmtId="0" fontId="6" fillId="27" borderId="0" xfId="1505" applyFont="1" applyFill="1"/>
    <xf numFmtId="174" fontId="6" fillId="27" borderId="0" xfId="1505" applyNumberFormat="1" applyFont="1" applyFill="1"/>
    <xf numFmtId="0" fontId="80" fillId="0" borderId="0" xfId="921" applyFont="1" applyFill="1" applyBorder="1" applyProtection="1"/>
    <xf numFmtId="172" fontId="8" fillId="27" borderId="0" xfId="921" applyNumberFormat="1" applyFont="1" applyFill="1" applyBorder="1" applyProtection="1"/>
    <xf numFmtId="0" fontId="18" fillId="0" borderId="0" xfId="921" applyFont="1" applyProtection="1"/>
    <xf numFmtId="173" fontId="6" fillId="27" borderId="0" xfId="1505" applyNumberFormat="1" applyFont="1" applyFill="1"/>
    <xf numFmtId="173" fontId="6" fillId="27" borderId="15" xfId="1505" applyNumberFormat="1" applyFont="1" applyFill="1" applyBorder="1"/>
    <xf numFmtId="0" fontId="6" fillId="27" borderId="15" xfId="1505" applyFont="1" applyFill="1" applyBorder="1"/>
    <xf numFmtId="0" fontId="6" fillId="27" borderId="21" xfId="921" applyFont="1" applyFill="1" applyBorder="1" applyAlignment="1" applyProtection="1">
      <alignment horizontal="left"/>
    </xf>
    <xf numFmtId="0" fontId="6" fillId="27" borderId="16" xfId="921" applyFont="1" applyFill="1" applyBorder="1" applyAlignment="1" applyProtection="1">
      <alignment horizontal="left"/>
    </xf>
    <xf numFmtId="0" fontId="18" fillId="0" borderId="0" xfId="1505" applyFont="1"/>
    <xf numFmtId="0" fontId="7" fillId="0" borderId="0" xfId="1505" applyFont="1" applyAlignment="1">
      <alignment horizontal="left"/>
    </xf>
    <xf numFmtId="0" fontId="7" fillId="0" borderId="0" xfId="921" applyFont="1" applyBorder="1" applyAlignment="1" applyProtection="1">
      <alignment horizontal="center"/>
    </xf>
    <xf numFmtId="0" fontId="8" fillId="27" borderId="0" xfId="1505" applyFont="1" applyFill="1"/>
    <xf numFmtId="0" fontId="78" fillId="0" borderId="0" xfId="1505" applyFont="1"/>
    <xf numFmtId="173" fontId="6" fillId="0" borderId="0" xfId="1505" applyNumberFormat="1" applyFont="1"/>
    <xf numFmtId="0" fontId="80" fillId="0" borderId="0" xfId="1505" applyFont="1"/>
    <xf numFmtId="0" fontId="83" fillId="0" borderId="0" xfId="1505" applyFont="1"/>
    <xf numFmtId="0" fontId="72" fillId="0" borderId="0" xfId="921" applyFont="1" applyProtection="1"/>
    <xf numFmtId="0" fontId="77" fillId="0" borderId="0" xfId="1505" applyFont="1"/>
    <xf numFmtId="173" fontId="7" fillId="0" borderId="0" xfId="921" applyNumberFormat="1" applyFont="1" applyBorder="1" applyAlignment="1" applyProtection="1">
      <alignment horizontal="center"/>
    </xf>
    <xf numFmtId="0" fontId="8" fillId="27" borderId="0" xfId="921" applyFont="1" applyFill="1" applyBorder="1" applyProtection="1"/>
    <xf numFmtId="0" fontId="2" fillId="0" borderId="0" xfId="921" applyFont="1" applyProtection="1"/>
    <xf numFmtId="0" fontId="4" fillId="27" borderId="0" xfId="1510" applyFont="1" applyFill="1"/>
    <xf numFmtId="193" fontId="10" fillId="0" borderId="0" xfId="1535" applyFont="1" applyFill="1" applyBorder="1" applyAlignment="1">
      <alignment horizontal="right"/>
    </xf>
    <xf numFmtId="175" fontId="7" fillId="0" borderId="0" xfId="1505" applyNumberFormat="1" applyFont="1"/>
    <xf numFmtId="173" fontId="4" fillId="0" borderId="0" xfId="1505" applyNumberFormat="1" applyFont="1" applyAlignment="1">
      <alignment horizontal="center"/>
    </xf>
    <xf numFmtId="175" fontId="6" fillId="0" borderId="0" xfId="1505" applyNumberFormat="1" applyFont="1" applyAlignment="1">
      <alignment horizontal="right"/>
    </xf>
    <xf numFmtId="0" fontId="0" fillId="0" borderId="0" xfId="921" applyFont="1" applyAlignment="1" applyProtection="1">
      <alignment horizontal="center"/>
    </xf>
    <xf numFmtId="0" fontId="70" fillId="0" borderId="0" xfId="1505" applyFont="1" applyAlignment="1">
      <alignment horizontal="center"/>
    </xf>
    <xf numFmtId="174" fontId="81" fillId="27" borderId="0" xfId="921" applyNumberFormat="1" applyFont="1" applyFill="1" applyBorder="1" applyProtection="1"/>
    <xf numFmtId="173" fontId="4" fillId="51" borderId="0" xfId="1536" applyNumberFormat="1" applyFont="1" applyFill="1" applyBorder="1"/>
    <xf numFmtId="173" fontId="19" fillId="51" borderId="0" xfId="1536" applyNumberFormat="1" applyFont="1" applyFill="1" applyBorder="1"/>
    <xf numFmtId="165" fontId="8" fillId="27" borderId="0" xfId="921" applyNumberFormat="1" applyFont="1" applyFill="1" applyBorder="1" applyAlignment="1" applyProtection="1">
      <alignment horizontal="center"/>
    </xf>
    <xf numFmtId="185" fontId="4" fillId="51" borderId="3" xfId="921" applyNumberFormat="1" applyFont="1" applyFill="1" applyBorder="1" applyAlignment="1" applyProtection="1">
      <alignment horizontal="center"/>
    </xf>
    <xf numFmtId="185" fontId="19" fillId="51" borderId="3" xfId="921" applyNumberFormat="1" applyFont="1" applyFill="1" applyBorder="1" applyAlignment="1" applyProtection="1">
      <alignment horizontal="center"/>
    </xf>
    <xf numFmtId="0" fontId="7" fillId="0" borderId="21" xfId="921" applyFont="1" applyBorder="1" applyAlignment="1" applyProtection="1">
      <alignment horizontal="center"/>
    </xf>
    <xf numFmtId="173" fontId="10" fillId="0" borderId="0" xfId="921" applyNumberFormat="1" applyFont="1" applyBorder="1" applyProtection="1"/>
    <xf numFmtId="0" fontId="4" fillId="0" borderId="0" xfId="921" applyFont="1" applyBorder="1" applyProtection="1"/>
    <xf numFmtId="185" fontId="4" fillId="51" borderId="0" xfId="921" applyNumberFormat="1" applyFont="1" applyFill="1" applyBorder="1" applyAlignment="1" applyProtection="1">
      <alignment horizontal="center"/>
    </xf>
    <xf numFmtId="185" fontId="19" fillId="51" borderId="0" xfId="921" applyNumberFormat="1" applyFont="1" applyFill="1" applyBorder="1" applyAlignment="1" applyProtection="1">
      <alignment horizontal="center"/>
    </xf>
    <xf numFmtId="173" fontId="8" fillId="27" borderId="0" xfId="921" applyNumberFormat="1" applyFont="1" applyFill="1" applyBorder="1" applyAlignment="1" applyProtection="1">
      <alignment horizontal="center"/>
    </xf>
    <xf numFmtId="173" fontId="7" fillId="0" borderId="21" xfId="921" applyNumberFormat="1" applyFont="1" applyBorder="1" applyAlignment="1" applyProtection="1">
      <alignment horizontal="center"/>
    </xf>
    <xf numFmtId="185" fontId="8" fillId="27" borderId="0" xfId="921" applyNumberFormat="1" applyFont="1" applyFill="1" applyBorder="1" applyAlignment="1" applyProtection="1">
      <alignment horizontal="center"/>
    </xf>
    <xf numFmtId="173" fontId="7" fillId="0" borderId="23" xfId="921" applyNumberFormat="1" applyFont="1" applyBorder="1" applyAlignment="1" applyProtection="1">
      <alignment horizontal="center"/>
    </xf>
    <xf numFmtId="185" fontId="4" fillId="0" borderId="0" xfId="921" applyNumberFormat="1" applyFont="1" applyFill="1" applyBorder="1" applyAlignment="1" applyProtection="1">
      <alignment horizontal="center"/>
    </xf>
    <xf numFmtId="0" fontId="84" fillId="0" borderId="0" xfId="921" applyFont="1" applyFill="1" applyBorder="1" applyAlignment="1" applyProtection="1">
      <alignment horizontal="centerContinuous"/>
    </xf>
    <xf numFmtId="0" fontId="7" fillId="0" borderId="0" xfId="921" applyFont="1" applyFill="1" applyBorder="1" applyAlignment="1" applyProtection="1">
      <alignment horizontal="center"/>
    </xf>
    <xf numFmtId="0" fontId="80" fillId="0" borderId="0" xfId="921" applyFont="1" applyFill="1" applyBorder="1" applyAlignment="1" applyProtection="1">
      <alignment horizontal="center"/>
    </xf>
    <xf numFmtId="0" fontId="0" fillId="0" borderId="0" xfId="921" applyFont="1" applyFill="1" applyProtection="1"/>
    <xf numFmtId="0" fontId="8" fillId="27" borderId="11" xfId="921" applyFont="1" applyFill="1" applyBorder="1" applyProtection="1"/>
    <xf numFmtId="0" fontId="8" fillId="27" borderId="3" xfId="921" applyFont="1" applyFill="1" applyBorder="1" applyProtection="1"/>
    <xf numFmtId="172" fontId="4" fillId="27" borderId="3" xfId="921" applyNumberFormat="1" applyFont="1" applyFill="1" applyBorder="1" applyProtection="1"/>
    <xf numFmtId="172" fontId="10" fillId="0" borderId="0" xfId="1505" applyNumberFormat="1" applyFont="1"/>
    <xf numFmtId="0" fontId="5" fillId="0" borderId="0" xfId="921" applyFont="1" applyAlignment="1" applyProtection="1">
      <alignment horizontal="left"/>
    </xf>
    <xf numFmtId="187" fontId="4" fillId="0" borderId="0" xfId="1505" applyNumberFormat="1" applyFont="1"/>
    <xf numFmtId="172" fontId="68" fillId="0" borderId="0" xfId="1505" applyNumberFormat="1" applyFont="1"/>
    <xf numFmtId="221" fontId="68" fillId="0" borderId="0" xfId="1352" applyNumberFormat="1" applyFont="1" applyFill="1" applyBorder="1" applyProtection="1"/>
    <xf numFmtId="221" fontId="70" fillId="0" borderId="0" xfId="1352" applyNumberFormat="1" applyFont="1" applyFill="1" applyBorder="1" applyProtection="1"/>
    <xf numFmtId="0" fontId="90" fillId="0" borderId="0" xfId="4"/>
    <xf numFmtId="0" fontId="90" fillId="0" borderId="0" xfId="4" applyBorder="1"/>
    <xf numFmtId="173" fontId="10" fillId="0" borderId="0" xfId="4" applyNumberFormat="1" applyFont="1" applyBorder="1"/>
    <xf numFmtId="0" fontId="17" fillId="0" borderId="0" xfId="4" applyFont="1" applyBorder="1"/>
    <xf numFmtId="0" fontId="90" fillId="0" borderId="0" xfId="4" applyFill="1"/>
    <xf numFmtId="175" fontId="9" fillId="26" borderId="0" xfId="921" applyNumberFormat="1" applyFont="1" applyFill="1" applyBorder="1" applyProtection="1"/>
    <xf numFmtId="0" fontId="4" fillId="0" borderId="3" xfId="1505" applyFont="1" applyBorder="1" applyAlignment="1">
      <alignment horizontal="center"/>
    </xf>
    <xf numFmtId="0" fontId="110" fillId="23" borderId="0" xfId="4" applyFont="1" applyFill="1" applyBorder="1"/>
    <xf numFmtId="0" fontId="108" fillId="23" borderId="0" xfId="4" applyFont="1" applyFill="1" applyBorder="1"/>
    <xf numFmtId="0" fontId="4" fillId="0" borderId="0" xfId="1505" applyFont="1" applyAlignment="1">
      <alignment horizontal="center"/>
    </xf>
    <xf numFmtId="0" fontId="19" fillId="26" borderId="0" xfId="921" applyFont="1" applyFill="1" applyBorder="1" applyAlignment="1" applyProtection="1">
      <alignment horizontal="center"/>
    </xf>
    <xf numFmtId="0" fontId="77" fillId="23" borderId="0" xfId="1505" applyFont="1" applyFill="1"/>
    <xf numFmtId="0" fontId="4" fillId="27" borderId="3" xfId="921" applyFont="1" applyFill="1" applyBorder="1" applyAlignment="1" applyProtection="1">
      <alignment horizontal="centerContinuous"/>
    </xf>
    <xf numFmtId="239" fontId="4" fillId="0" borderId="3" xfId="1505" applyNumberFormat="1" applyFont="1" applyBorder="1" applyAlignment="1">
      <alignment horizontal="center"/>
    </xf>
    <xf numFmtId="0" fontId="79" fillId="23" borderId="7" xfId="4" applyFont="1" applyFill="1" applyBorder="1"/>
    <xf numFmtId="0" fontId="78" fillId="23" borderId="7" xfId="1505" applyFont="1" applyFill="1" applyBorder="1"/>
    <xf numFmtId="0" fontId="82" fillId="23" borderId="7" xfId="4" applyFont="1" applyFill="1" applyBorder="1"/>
    <xf numFmtId="0" fontId="82" fillId="23" borderId="7" xfId="4" applyFont="1" applyFill="1" applyBorder="1" applyAlignment="1">
      <alignment horizontal="right"/>
    </xf>
    <xf numFmtId="0" fontId="4" fillId="0" borderId="3" xfId="921" applyFont="1" applyBorder="1" applyAlignment="1" applyProtection="1">
      <alignment horizontal="centerContinuous"/>
    </xf>
    <xf numFmtId="173" fontId="82" fillId="23" borderId="0" xfId="1536" applyNumberFormat="1" applyFont="1" applyFill="1" applyBorder="1" applyAlignment="1" applyProtection="1">
      <alignment horizontal="centerContinuous"/>
    </xf>
    <xf numFmtId="186" fontId="80" fillId="23" borderId="0" xfId="921" applyNumberFormat="1" applyFont="1" applyFill="1" applyBorder="1" applyAlignment="1" applyProtection="1">
      <alignment horizontal="centerContinuous"/>
    </xf>
    <xf numFmtId="0" fontId="80" fillId="23" borderId="0" xfId="921" applyFont="1" applyFill="1" applyBorder="1" applyAlignment="1" applyProtection="1">
      <alignment horizontal="centerContinuous"/>
    </xf>
    <xf numFmtId="0" fontId="80" fillId="23" borderId="0" xfId="921" applyFont="1" applyFill="1" applyAlignment="1" applyProtection="1">
      <alignment horizontal="centerContinuous"/>
    </xf>
    <xf numFmtId="0" fontId="80" fillId="23" borderId="0" xfId="921" applyFont="1" applyFill="1" applyBorder="1" applyAlignment="1" applyProtection="1">
      <alignment horizontal="center"/>
    </xf>
    <xf numFmtId="173" fontId="80" fillId="23" borderId="0" xfId="921" applyNumberFormat="1" applyFont="1" applyFill="1" applyBorder="1" applyAlignment="1" applyProtection="1">
      <alignment horizontal="center"/>
    </xf>
    <xf numFmtId="185" fontId="80" fillId="23" borderId="0" xfId="921" applyNumberFormat="1" applyFont="1" applyFill="1" applyBorder="1" applyAlignment="1" applyProtection="1">
      <alignment horizontal="center"/>
    </xf>
    <xf numFmtId="0" fontId="90" fillId="0" borderId="0" xfId="4" applyBorder="1" applyAlignment="1">
      <alignment horizontal="center"/>
    </xf>
    <xf numFmtId="0" fontId="107" fillId="0" borderId="0" xfId="4" applyFont="1" applyBorder="1" applyAlignment="1">
      <alignment horizontal="center"/>
    </xf>
    <xf numFmtId="0" fontId="111" fillId="0" borderId="0" xfId="921" applyFont="1" applyProtection="1"/>
    <xf numFmtId="0" fontId="113" fillId="0" borderId="0" xfId="921" applyFont="1" applyProtection="1"/>
    <xf numFmtId="0" fontId="80" fillId="23" borderId="0" xfId="1505" applyFont="1" applyFill="1" applyAlignment="1">
      <alignment horizontal="centerContinuous"/>
    </xf>
    <xf numFmtId="184" fontId="82" fillId="23" borderId="0" xfId="1505" applyNumberFormat="1" applyFont="1" applyFill="1" applyAlignment="1">
      <alignment horizontal="centerContinuous"/>
    </xf>
    <xf numFmtId="0" fontId="82" fillId="23" borderId="0" xfId="1505" applyFont="1" applyFill="1" applyAlignment="1">
      <alignment horizontal="centerContinuous"/>
    </xf>
    <xf numFmtId="0" fontId="4" fillId="0" borderId="0" xfId="921" applyFont="1" applyFill="1" applyBorder="1" applyAlignment="1" applyProtection="1">
      <alignment horizontal="centerContinuous"/>
    </xf>
    <xf numFmtId="0" fontId="86" fillId="27" borderId="3" xfId="921" applyFont="1" applyFill="1" applyBorder="1" applyAlignment="1" applyProtection="1">
      <alignment horizontal="centerContinuous"/>
    </xf>
    <xf numFmtId="0" fontId="114" fillId="27" borderId="3" xfId="921" applyFont="1" applyFill="1" applyBorder="1" applyAlignment="1" applyProtection="1">
      <alignment horizontal="centerContinuous"/>
    </xf>
    <xf numFmtId="0" fontId="108" fillId="23" borderId="0" xfId="921" applyFont="1" applyFill="1" applyBorder="1" applyProtection="1"/>
    <xf numFmtId="0" fontId="109" fillId="23" borderId="0" xfId="921" applyFont="1" applyFill="1" applyBorder="1" applyProtection="1"/>
    <xf numFmtId="0" fontId="80" fillId="23" borderId="0" xfId="921" applyFont="1" applyFill="1" applyBorder="1" applyProtection="1"/>
    <xf numFmtId="0" fontId="112" fillId="23" borderId="0" xfId="921" applyFont="1" applyFill="1" applyBorder="1" applyProtection="1"/>
    <xf numFmtId="0" fontId="79" fillId="23" borderId="0" xfId="921" applyFont="1" applyFill="1" applyBorder="1" applyProtection="1"/>
    <xf numFmtId="175" fontId="9" fillId="0" borderId="3" xfId="1505" applyNumberFormat="1" applyFont="1" applyBorder="1"/>
    <xf numFmtId="175" fontId="6" fillId="0" borderId="3" xfId="1505" applyNumberFormat="1" applyFont="1" applyBorder="1"/>
    <xf numFmtId="0" fontId="18" fillId="0" borderId="3" xfId="921" applyFont="1" applyBorder="1" applyProtection="1"/>
    <xf numFmtId="175" fontId="9" fillId="26" borderId="3" xfId="921" applyNumberFormat="1" applyFont="1" applyFill="1" applyBorder="1" applyProtection="1"/>
    <xf numFmtId="172" fontId="5" fillId="0" borderId="0" xfId="1505" applyNumberFormat="1" applyFont="1"/>
    <xf numFmtId="175" fontId="5" fillId="0" borderId="3" xfId="1505" applyNumberFormat="1" applyFont="1" applyBorder="1"/>
    <xf numFmtId="172" fontId="5" fillId="0" borderId="3" xfId="1505" applyNumberFormat="1" applyFont="1" applyBorder="1"/>
    <xf numFmtId="172" fontId="6" fillId="0" borderId="3" xfId="1505" applyNumberFormat="1" applyFont="1" applyBorder="1"/>
    <xf numFmtId="0" fontId="4" fillId="0" borderId="0" xfId="1510" applyFont="1"/>
    <xf numFmtId="241" fontId="10" fillId="0" borderId="0" xfId="4" applyNumberFormat="1" applyFont="1" applyFill="1" applyBorder="1" applyAlignment="1">
      <alignment horizontal="right"/>
    </xf>
    <xf numFmtId="0" fontId="108" fillId="23" borderId="0" xfId="1505" applyFont="1" applyFill="1"/>
    <xf numFmtId="0" fontId="80" fillId="23" borderId="0" xfId="1505" applyFont="1" applyFill="1"/>
    <xf numFmtId="0" fontId="109" fillId="23" borderId="0" xfId="1505" applyFont="1" applyFill="1"/>
    <xf numFmtId="0" fontId="79" fillId="23" borderId="0" xfId="1505" applyFont="1" applyFill="1"/>
    <xf numFmtId="0" fontId="8" fillId="0" borderId="3" xfId="1505" applyFont="1" applyBorder="1"/>
    <xf numFmtId="0" fontId="8" fillId="0" borderId="3" xfId="1505" applyFont="1" applyBorder="1" applyAlignment="1">
      <alignment horizontal="center"/>
    </xf>
    <xf numFmtId="0" fontId="82" fillId="23" borderId="0" xfId="1505" applyFont="1" applyFill="1"/>
    <xf numFmtId="0" fontId="82" fillId="23" borderId="0" xfId="921" applyFont="1" applyFill="1" applyProtection="1"/>
    <xf numFmtId="0" fontId="4" fillId="0" borderId="51" xfId="1505" applyFont="1" applyBorder="1" applyAlignment="1">
      <alignment horizontal="center"/>
    </xf>
    <xf numFmtId="172" fontId="6" fillId="0" borderId="52" xfId="1505" applyNumberFormat="1" applyFont="1" applyBorder="1"/>
    <xf numFmtId="175" fontId="6" fillId="0" borderId="52" xfId="1505" applyNumberFormat="1" applyFont="1" applyBorder="1"/>
    <xf numFmtId="175" fontId="6" fillId="0" borderId="53" xfId="1505" applyNumberFormat="1" applyFont="1" applyBorder="1"/>
    <xf numFmtId="172" fontId="6" fillId="0" borderId="53" xfId="1505" applyNumberFormat="1" applyFont="1" applyBorder="1"/>
    <xf numFmtId="239" fontId="19" fillId="26" borderId="50" xfId="1505" applyNumberFormat="1" applyFont="1" applyFill="1" applyBorder="1" applyAlignment="1">
      <alignment horizontal="center"/>
    </xf>
    <xf numFmtId="270" fontId="11" fillId="0" borderId="0" xfId="5" applyNumberFormat="1" applyFill="1" applyBorder="1" applyAlignment="1" applyProtection="1">
      <alignment horizontal="right"/>
    </xf>
    <xf numFmtId="271" fontId="11" fillId="0" borderId="0" xfId="5" applyNumberFormat="1" applyFill="1" applyBorder="1" applyProtection="1"/>
    <xf numFmtId="0" fontId="4" fillId="51" borderId="3" xfId="1506" applyFont="1" applyFill="1" applyBorder="1" applyAlignment="1">
      <alignment horizontal="center"/>
    </xf>
    <xf numFmtId="0" fontId="4" fillId="51" borderId="0" xfId="1506" applyFont="1" applyFill="1"/>
    <xf numFmtId="290" fontId="4" fillId="51" borderId="0" xfId="4" applyNumberFormat="1" applyFont="1" applyFill="1"/>
    <xf numFmtId="0" fontId="17" fillId="27" borderId="54" xfId="4" applyFont="1" applyFill="1" applyBorder="1" applyAlignment="1"/>
    <xf numFmtId="0" fontId="17" fillId="27" borderId="16" xfId="4" applyFont="1" applyFill="1" applyBorder="1" applyAlignment="1"/>
    <xf numFmtId="0" fontId="6" fillId="27" borderId="11" xfId="1505" applyFont="1" applyFill="1" applyBorder="1"/>
    <xf numFmtId="0" fontId="6" fillId="27" borderId="48" xfId="1505" applyFont="1" applyFill="1" applyBorder="1"/>
    <xf numFmtId="0" fontId="257" fillId="0" borderId="0" xfId="1505" applyFont="1"/>
    <xf numFmtId="0" fontId="258" fillId="23" borderId="0" xfId="4" applyFont="1" applyFill="1" applyBorder="1"/>
    <xf numFmtId="0" fontId="112" fillId="23" borderId="55" xfId="4" applyFont="1" applyFill="1" applyBorder="1" applyAlignment="1"/>
    <xf numFmtId="290" fontId="4" fillId="27" borderId="0" xfId="4" applyNumberFormat="1" applyFont="1" applyFill="1" applyBorder="1"/>
    <xf numFmtId="172" fontId="4" fillId="0" borderId="0" xfId="1510" applyNumberFormat="1" applyFont="1"/>
    <xf numFmtId="0" fontId="262" fillId="0" borderId="0" xfId="1507" applyFont="1"/>
    <xf numFmtId="0" fontId="8" fillId="0" borderId="20" xfId="921" applyFont="1" applyFill="1" applyBorder="1" applyProtection="1"/>
    <xf numFmtId="172" fontId="4" fillId="0" borderId="20" xfId="921" applyNumberFormat="1" applyFont="1" applyFill="1" applyBorder="1" applyProtection="1"/>
    <xf numFmtId="0" fontId="7" fillId="0" borderId="20" xfId="1505" applyFont="1" applyBorder="1"/>
    <xf numFmtId="193" fontId="10" fillId="0" borderId="20" xfId="1535" applyFont="1" applyFill="1" applyBorder="1" applyAlignment="1">
      <alignment horizontal="right"/>
    </xf>
    <xf numFmtId="291" fontId="4" fillId="27" borderId="29" xfId="4" applyNumberFormat="1" applyFont="1" applyFill="1" applyBorder="1" applyAlignment="1">
      <alignment horizontal="right"/>
    </xf>
    <xf numFmtId="0" fontId="4" fillId="51" borderId="0" xfId="1510" applyFont="1" applyFill="1"/>
    <xf numFmtId="242" fontId="9" fillId="26" borderId="0" xfId="4" applyNumberFormat="1" applyFont="1" applyFill="1"/>
    <xf numFmtId="243" fontId="9" fillId="26" borderId="0" xfId="4" applyNumberFormat="1" applyFont="1" applyFill="1"/>
    <xf numFmtId="175" fontId="4" fillId="51" borderId="0" xfId="1506" applyNumberFormat="1" applyFont="1" applyFill="1"/>
    <xf numFmtId="0" fontId="4" fillId="51" borderId="0" xfId="921" applyFont="1" applyFill="1" applyProtection="1"/>
    <xf numFmtId="291" fontId="4" fillId="27" borderId="0" xfId="4" applyNumberFormat="1" applyFont="1" applyFill="1" applyBorder="1"/>
    <xf numFmtId="0" fontId="4" fillId="51" borderId="0" xfId="1506" applyFont="1" applyFill="1" applyAlignment="1">
      <alignment horizontal="center"/>
    </xf>
    <xf numFmtId="242" fontId="9" fillId="26" borderId="3" xfId="4" applyNumberFormat="1" applyFont="1" applyFill="1" applyBorder="1"/>
    <xf numFmtId="243" fontId="9" fillId="26" borderId="3" xfId="4" applyNumberFormat="1" applyFont="1" applyFill="1" applyBorder="1"/>
    <xf numFmtId="292" fontId="9" fillId="26" borderId="0" xfId="4" applyNumberFormat="1" applyFont="1" applyFill="1" applyBorder="1"/>
    <xf numFmtId="241" fontId="10" fillId="0" borderId="52" xfId="4" applyNumberFormat="1" applyFont="1" applyFill="1" applyBorder="1" applyAlignment="1">
      <alignment horizontal="right"/>
    </xf>
    <xf numFmtId="0" fontId="2" fillId="0" borderId="0" xfId="1507"/>
    <xf numFmtId="0" fontId="260" fillId="0" borderId="0" xfId="1507" applyFont="1" applyAlignment="1">
      <alignment horizontal="center"/>
    </xf>
    <xf numFmtId="0" fontId="261" fillId="0" borderId="0" xfId="1507" applyFont="1" applyAlignment="1">
      <alignment horizontal="center"/>
    </xf>
    <xf numFmtId="0" fontId="19" fillId="26" borderId="3" xfId="1505" applyFont="1" applyFill="1" applyBorder="1" applyAlignment="1">
      <alignment horizontal="center"/>
    </xf>
    <xf numFmtId="0" fontId="17" fillId="0" borderId="0" xfId="4" applyFont="1" applyFill="1" applyBorder="1"/>
    <xf numFmtId="0" fontId="90" fillId="0" borderId="0" xfId="4" applyFill="1" applyBorder="1"/>
    <xf numFmtId="0" fontId="90" fillId="0" borderId="0" xfId="4" applyFill="1" applyBorder="1" applyAlignment="1">
      <alignment horizontal="center"/>
    </xf>
    <xf numFmtId="0" fontId="111" fillId="0" borderId="0" xfId="921" applyFont="1" applyFill="1" applyProtection="1"/>
    <xf numFmtId="0" fontId="256" fillId="0" borderId="0" xfId="921" applyFont="1" applyFill="1" applyBorder="1" applyProtection="1"/>
    <xf numFmtId="0" fontId="4" fillId="23" borderId="0" xfId="1505" applyFont="1" applyFill="1"/>
    <xf numFmtId="240" fontId="4" fillId="27" borderId="29" xfId="1535" applyNumberFormat="1" applyFont="1" applyFill="1" applyBorder="1" applyAlignment="1">
      <alignment horizontal="right" vertical="distributed"/>
    </xf>
    <xf numFmtId="240" fontId="9" fillId="26" borderId="0" xfId="1535" applyNumberFormat="1" applyFont="1" applyFill="1" applyBorder="1" applyAlignment="1">
      <alignment horizontal="right" vertical="distributed"/>
    </xf>
    <xf numFmtId="173" fontId="263" fillId="0" borderId="0" xfId="1536" applyNumberFormat="1" applyFont="1" applyFill="1" applyBorder="1" applyProtection="1"/>
    <xf numFmtId="290" fontId="4" fillId="0" borderId="0" xfId="4" applyNumberFormat="1" applyFont="1" applyFill="1"/>
    <xf numFmtId="290" fontId="4" fillId="27" borderId="0" xfId="4" applyNumberFormat="1" applyFont="1" applyFill="1"/>
    <xf numFmtId="290" fontId="4" fillId="27" borderId="29" xfId="4" applyNumberFormat="1" applyFont="1" applyFill="1" applyBorder="1"/>
    <xf numFmtId="290" fontId="4" fillId="0" borderId="52" xfId="4" applyNumberFormat="1" applyFont="1" applyFill="1" applyBorder="1"/>
    <xf numFmtId="290" fontId="4" fillId="27" borderId="52" xfId="4" applyNumberFormat="1" applyFont="1" applyFill="1" applyBorder="1"/>
    <xf numFmtId="0" fontId="6" fillId="27" borderId="56" xfId="1505" applyFont="1" applyFill="1" applyBorder="1"/>
    <xf numFmtId="173" fontId="6" fillId="27" borderId="49" xfId="1505" applyNumberFormat="1" applyFont="1" applyFill="1" applyBorder="1"/>
    <xf numFmtId="174" fontId="6" fillId="27" borderId="49" xfId="1505" applyNumberFormat="1" applyFont="1" applyFill="1" applyBorder="1"/>
    <xf numFmtId="0" fontId="9" fillId="26" borderId="0" xfId="921" applyFont="1" applyFill="1" applyBorder="1" applyProtection="1"/>
    <xf numFmtId="293" fontId="9" fillId="26" borderId="0" xfId="4" applyNumberFormat="1" applyFont="1" applyFill="1"/>
    <xf numFmtId="244" fontId="9" fillId="26" borderId="0" xfId="4" applyNumberFormat="1" applyFont="1" applyFill="1"/>
    <xf numFmtId="293" fontId="4" fillId="27" borderId="0" xfId="4" applyNumberFormat="1" applyFont="1" applyFill="1"/>
    <xf numFmtId="293" fontId="4" fillId="27" borderId="29" xfId="4" applyNumberFormat="1" applyFont="1" applyFill="1" applyBorder="1"/>
    <xf numFmtId="173" fontId="4" fillId="51" borderId="3" xfId="921" applyNumberFormat="1" applyFont="1" applyFill="1" applyBorder="1" applyAlignment="1" applyProtection="1">
      <alignment horizontal="center"/>
    </xf>
    <xf numFmtId="173" fontId="19" fillId="51" borderId="3" xfId="921" applyNumberFormat="1" applyFont="1" applyFill="1" applyBorder="1" applyAlignment="1" applyProtection="1">
      <alignment horizontal="center"/>
    </xf>
    <xf numFmtId="0" fontId="112" fillId="23" borderId="55" xfId="4" applyFont="1" applyFill="1" applyBorder="1" applyAlignment="1">
      <alignment horizontal="center"/>
    </xf>
    <xf numFmtId="0" fontId="259" fillId="0" borderId="0" xfId="0" applyFont="1" applyAlignment="1" applyProtection="1">
      <alignment horizontal="center"/>
    </xf>
    <xf numFmtId="0" fontId="260" fillId="0" borderId="0" xfId="0" applyFont="1" applyFill="1" applyAlignment="1" applyProtection="1">
      <alignment horizontal="center"/>
    </xf>
    <xf numFmtId="173" fontId="2" fillId="0" borderId="0" xfId="1536" applyNumberFormat="1" applyFont="1" applyFill="1" applyBorder="1"/>
    <xf numFmtId="0" fontId="272" fillId="0" borderId="4" xfId="0" applyFont="1" applyBorder="1" applyAlignment="1" applyProtection="1">
      <alignment horizontal="left"/>
    </xf>
    <xf numFmtId="0" fontId="0" fillId="0" borderId="4" xfId="0" applyBorder="1" applyProtection="1"/>
    <xf numFmtId="0" fontId="13" fillId="0" borderId="4" xfId="0" applyFont="1" applyBorder="1" applyProtection="1"/>
    <xf numFmtId="0" fontId="36" fillId="0" borderId="4" xfId="0" applyFont="1" applyBorder="1" applyProtection="1"/>
    <xf numFmtId="0" fontId="4" fillId="0" borderId="0" xfId="0" applyFont="1" applyProtection="1"/>
    <xf numFmtId="0" fontId="2" fillId="0" borderId="0" xfId="0" applyFont="1" applyProtection="1"/>
    <xf numFmtId="0" fontId="0" fillId="57" borderId="0" xfId="0" applyFill="1" applyProtection="1"/>
    <xf numFmtId="0" fontId="0" fillId="0" borderId="0" xfId="0" quotePrefix="1" applyProtection="1"/>
    <xf numFmtId="0" fontId="0" fillId="0" borderId="0" xfId="0" applyAlignment="1" applyProtection="1">
      <alignment horizontal="right"/>
    </xf>
    <xf numFmtId="0" fontId="0" fillId="0" borderId="0" xfId="0" applyAlignment="1" applyProtection="1">
      <alignment horizontal="center"/>
    </xf>
    <xf numFmtId="0" fontId="0" fillId="0" borderId="0" xfId="0" applyAlignment="1" applyProtection="1">
      <alignment horizontal="left"/>
    </xf>
    <xf numFmtId="294" fontId="0" fillId="0" borderId="0" xfId="0" applyNumberFormat="1" applyProtection="1"/>
    <xf numFmtId="0" fontId="2" fillId="0" borderId="0" xfId="0" quotePrefix="1" applyFont="1" applyProtection="1"/>
    <xf numFmtId="0" fontId="0" fillId="0" borderId="0" xfId="0" applyAlignment="1" applyProtection="1">
      <alignment horizontal="center" vertical="center"/>
    </xf>
    <xf numFmtId="294" fontId="0" fillId="0" borderId="0" xfId="0" applyNumberFormat="1" applyAlignment="1" applyProtection="1">
      <alignment horizontal="center" vertical="center"/>
    </xf>
    <xf numFmtId="294" fontId="0" fillId="0" borderId="0" xfId="1729" applyNumberFormat="1" applyFont="1"/>
    <xf numFmtId="173" fontId="0" fillId="0" borderId="0" xfId="1536" applyNumberFormat="1" applyFont="1" applyProtection="1"/>
    <xf numFmtId="0" fontId="0" fillId="0" borderId="0" xfId="0" applyFill="1" applyProtection="1"/>
    <xf numFmtId="294" fontId="0" fillId="0" borderId="0" xfId="0" applyNumberFormat="1" applyFill="1" applyAlignment="1" applyProtection="1">
      <alignment horizontal="left"/>
    </xf>
    <xf numFmtId="294" fontId="0" fillId="0" borderId="0" xfId="0" applyNumberFormat="1" applyFill="1" applyProtection="1"/>
    <xf numFmtId="173" fontId="0" fillId="0" borderId="0" xfId="1536" applyNumberFormat="1" applyFont="1" applyFill="1" applyProtection="1"/>
    <xf numFmtId="295" fontId="0" fillId="0" borderId="0" xfId="0" applyNumberFormat="1" applyFill="1" applyProtection="1"/>
    <xf numFmtId="0" fontId="4" fillId="0" borderId="0" xfId="0" applyFont="1" applyFill="1" applyProtection="1"/>
    <xf numFmtId="0" fontId="0" fillId="0" borderId="0" xfId="1536" applyFont="1" applyFill="1" applyProtection="1"/>
    <xf numFmtId="0" fontId="0" fillId="0" borderId="0" xfId="0" applyFill="1" applyAlignment="1" applyProtection="1">
      <alignment horizontal="center"/>
    </xf>
    <xf numFmtId="0" fontId="0" fillId="0" borderId="0" xfId="0" applyAlignment="1" applyProtection="1">
      <alignment wrapText="1"/>
    </xf>
    <xf numFmtId="0" fontId="273" fillId="0" borderId="29" xfId="0" applyFont="1" applyBorder="1" applyAlignment="1" applyProtection="1">
      <alignment horizontal="center" vertical="top"/>
    </xf>
    <xf numFmtId="296" fontId="0" fillId="0" borderId="0" xfId="0" applyNumberFormat="1" applyProtection="1"/>
    <xf numFmtId="0" fontId="0" fillId="0" borderId="0" xfId="1536" applyFont="1"/>
    <xf numFmtId="0" fontId="13" fillId="0" borderId="0" xfId="0" applyFont="1" applyProtection="1"/>
    <xf numFmtId="0" fontId="274" fillId="0" borderId="0" xfId="0" applyFont="1" applyProtection="1"/>
    <xf numFmtId="0" fontId="274" fillId="58" borderId="58" xfId="0" applyFont="1" applyFill="1" applyBorder="1" applyAlignment="1" applyProtection="1">
      <alignment horizontal="center"/>
    </xf>
    <xf numFmtId="0" fontId="274" fillId="58" borderId="59" xfId="0" applyFont="1" applyFill="1" applyBorder="1" applyAlignment="1" applyProtection="1">
      <alignment horizontal="center"/>
    </xf>
    <xf numFmtId="0" fontId="274" fillId="58" borderId="60" xfId="0" applyFont="1" applyFill="1" applyBorder="1" applyAlignment="1" applyProtection="1">
      <alignment horizontal="center"/>
    </xf>
    <xf numFmtId="0" fontId="4" fillId="58" borderId="61" xfId="0" applyFont="1" applyFill="1" applyBorder="1" applyAlignment="1" applyProtection="1">
      <alignment horizontal="center"/>
    </xf>
    <xf numFmtId="0" fontId="275" fillId="0" borderId="62" xfId="0" applyFont="1" applyBorder="1" applyProtection="1"/>
    <xf numFmtId="0" fontId="275" fillId="0" borderId="63" xfId="0" applyFont="1" applyBorder="1" applyProtection="1"/>
    <xf numFmtId="0" fontId="275" fillId="0" borderId="64" xfId="0" applyFont="1" applyBorder="1" applyProtection="1"/>
    <xf numFmtId="0" fontId="0" fillId="0" borderId="61" xfId="0" applyBorder="1" applyProtection="1"/>
    <xf numFmtId="173" fontId="0" fillId="0" borderId="61" xfId="0" applyNumberFormat="1" applyBorder="1" applyProtection="1"/>
    <xf numFmtId="0" fontId="275" fillId="0" borderId="0" xfId="0" applyFont="1" applyProtection="1"/>
    <xf numFmtId="0" fontId="276" fillId="0" borderId="0" xfId="0" applyFont="1" applyProtection="1"/>
    <xf numFmtId="0" fontId="13" fillId="0" borderId="65" xfId="0" applyFont="1" applyFill="1" applyBorder="1" applyAlignment="1" applyProtection="1">
      <alignment horizontal="left"/>
    </xf>
    <xf numFmtId="0" fontId="13" fillId="0" borderId="66" xfId="0" applyFont="1" applyFill="1" applyBorder="1" applyAlignment="1" applyProtection="1">
      <alignment horizontal="left"/>
    </xf>
    <xf numFmtId="0" fontId="13" fillId="0" borderId="67" xfId="0" applyFont="1" applyFill="1" applyBorder="1" applyAlignment="1" applyProtection="1">
      <alignment horizontal="left"/>
    </xf>
    <xf numFmtId="0" fontId="13" fillId="0" borderId="68" xfId="0" applyFont="1" applyFill="1" applyBorder="1" applyAlignment="1" applyProtection="1">
      <alignment horizontal="left"/>
    </xf>
    <xf numFmtId="0" fontId="13" fillId="0" borderId="0" xfId="0" applyFont="1" applyFill="1" applyBorder="1" applyAlignment="1" applyProtection="1">
      <alignment horizontal="left"/>
    </xf>
    <xf numFmtId="0" fontId="13" fillId="0" borderId="69" xfId="0" applyFont="1" applyFill="1" applyBorder="1" applyAlignment="1" applyProtection="1">
      <alignment horizontal="left"/>
    </xf>
    <xf numFmtId="0" fontId="36" fillId="0" borderId="0" xfId="0" applyFont="1" applyProtection="1"/>
    <xf numFmtId="0" fontId="0" fillId="0" borderId="68" xfId="0" applyBorder="1" applyAlignment="1" applyProtection="1">
      <alignment wrapText="1"/>
    </xf>
    <xf numFmtId="0" fontId="0" fillId="0" borderId="0" xfId="0" applyBorder="1" applyProtection="1"/>
    <xf numFmtId="0" fontId="0" fillId="0" borderId="68" xfId="0" applyBorder="1" applyProtection="1"/>
    <xf numFmtId="0" fontId="0" fillId="0" borderId="69" xfId="0" applyBorder="1" applyProtection="1"/>
    <xf numFmtId="0" fontId="277" fillId="0" borderId="68" xfId="0" applyFont="1" applyBorder="1" applyAlignment="1" applyProtection="1">
      <alignment horizontal="left" wrapText="1"/>
    </xf>
    <xf numFmtId="0" fontId="274" fillId="0" borderId="68" xfId="0" applyFont="1" applyBorder="1" applyAlignment="1" applyProtection="1">
      <alignment horizontal="center" vertical="center" wrapText="1" indent="1"/>
    </xf>
    <xf numFmtId="0" fontId="274" fillId="0" borderId="68" xfId="0" applyFont="1" applyBorder="1" applyAlignment="1" applyProtection="1">
      <alignment horizontal="center" vertical="center"/>
    </xf>
    <xf numFmtId="0" fontId="274" fillId="0" borderId="68" xfId="0" applyFont="1" applyBorder="1" applyAlignment="1" applyProtection="1">
      <alignment horizontal="center" vertical="center" wrapText="1"/>
    </xf>
    <xf numFmtId="0" fontId="0" fillId="0" borderId="0" xfId="0" applyBorder="1" applyAlignment="1" applyProtection="1">
      <alignment wrapText="1"/>
    </xf>
    <xf numFmtId="0" fontId="275" fillId="0" borderId="0" xfId="0" applyFont="1" applyBorder="1" applyAlignment="1" applyProtection="1">
      <alignment wrapText="1"/>
    </xf>
    <xf numFmtId="0" fontId="274" fillId="0" borderId="68" xfId="0" applyFont="1" applyBorder="1" applyAlignment="1" applyProtection="1">
      <alignment wrapText="1"/>
    </xf>
    <xf numFmtId="0" fontId="13" fillId="0" borderId="68" xfId="0" applyFont="1" applyBorder="1" applyProtection="1"/>
    <xf numFmtId="0" fontId="274" fillId="0" borderId="68" xfId="0" applyFont="1" applyBorder="1" applyAlignment="1" applyProtection="1">
      <alignment horizontal="center" wrapText="1" indent="1"/>
    </xf>
    <xf numFmtId="0" fontId="275" fillId="0" borderId="0" xfId="0" applyFont="1" applyBorder="1" applyProtection="1"/>
    <xf numFmtId="0" fontId="4" fillId="58" borderId="0" xfId="0" applyFont="1" applyFill="1" applyAlignment="1" applyProtection="1">
      <alignment horizontal="center"/>
    </xf>
    <xf numFmtId="0" fontId="274" fillId="0" borderId="68" xfId="0" applyFont="1" applyBorder="1" applyAlignment="1" applyProtection="1">
      <alignment horizontal="center"/>
    </xf>
    <xf numFmtId="0" fontId="274" fillId="0" borderId="68" xfId="0" applyFont="1" applyBorder="1" applyAlignment="1" applyProtection="1">
      <alignment horizontal="center" wrapText="1"/>
    </xf>
    <xf numFmtId="0" fontId="275" fillId="0" borderId="61" xfId="0" applyFont="1" applyBorder="1" applyProtection="1"/>
    <xf numFmtId="297" fontId="268" fillId="0" borderId="66" xfId="1726" applyNumberFormat="1" applyBorder="1">
      <alignment horizontal="right" vertical="center"/>
    </xf>
    <xf numFmtId="244" fontId="0" fillId="26" borderId="15" xfId="4" applyNumberFormat="1" applyFont="1" applyFill="1" applyBorder="1" applyProtection="1"/>
    <xf numFmtId="244" fontId="0" fillId="26" borderId="0" xfId="4" applyNumberFormat="1" applyFont="1" applyFill="1" applyProtection="1"/>
    <xf numFmtId="244" fontId="9" fillId="26" borderId="0" xfId="4" applyNumberFormat="1" applyFont="1" applyFill="1" applyProtection="1"/>
    <xf numFmtId="240" fontId="9" fillId="26" borderId="0" xfId="1535" applyNumberFormat="1" applyFont="1" applyFill="1" applyAlignment="1" applyProtection="1">
      <alignment horizontal="right" vertical="distributed"/>
    </xf>
    <xf numFmtId="240" fontId="0" fillId="0" borderId="0" xfId="0" applyNumberFormat="1" applyProtection="1"/>
    <xf numFmtId="240" fontId="9" fillId="26" borderId="72" xfId="1535" applyNumberFormat="1" applyFont="1" applyFill="1" applyBorder="1" applyAlignment="1" applyProtection="1">
      <alignment horizontal="right" vertical="distributed"/>
    </xf>
    <xf numFmtId="0" fontId="279" fillId="0" borderId="0" xfId="0" applyFont="1" applyProtection="1"/>
    <xf numFmtId="0" fontId="4" fillId="0" borderId="0" xfId="0" applyFont="1" applyBorder="1" applyProtection="1"/>
    <xf numFmtId="0" fontId="280" fillId="0" borderId="68" xfId="0" applyFont="1" applyBorder="1" applyProtection="1"/>
    <xf numFmtId="0" fontId="279" fillId="0" borderId="70" xfId="0" applyFont="1" applyBorder="1" applyAlignment="1" applyProtection="1">
      <alignment vertical="center"/>
    </xf>
    <xf numFmtId="2" fontId="0" fillId="0" borderId="0" xfId="0" applyNumberFormat="1" applyProtection="1"/>
    <xf numFmtId="0" fontId="281" fillId="0" borderId="0" xfId="0" applyFont="1" applyProtection="1"/>
    <xf numFmtId="297" fontId="0" fillId="0" borderId="0" xfId="0" applyNumberFormat="1" applyProtection="1"/>
    <xf numFmtId="10" fontId="0" fillId="0" borderId="0" xfId="0" applyNumberFormat="1" applyProtection="1"/>
    <xf numFmtId="0" fontId="278" fillId="0" borderId="0" xfId="1730" applyProtection="1"/>
    <xf numFmtId="10" fontId="9" fillId="26" borderId="0" xfId="1535" applyNumberFormat="1" applyFont="1" applyFill="1" applyBorder="1" applyAlignment="1">
      <alignment horizontal="right" vertical="distributed"/>
    </xf>
    <xf numFmtId="298" fontId="9" fillId="26" borderId="0" xfId="4" applyNumberFormat="1" applyFont="1" applyFill="1"/>
    <xf numFmtId="298" fontId="0" fillId="0" borderId="0" xfId="0" applyNumberFormat="1" applyProtection="1"/>
    <xf numFmtId="298" fontId="20" fillId="26" borderId="0" xfId="1505" applyNumberFormat="1" applyFont="1" applyFill="1"/>
    <xf numFmtId="10" fontId="4" fillId="27" borderId="29" xfId="1535" applyNumberFormat="1" applyFont="1" applyFill="1" applyBorder="1" applyAlignment="1">
      <alignment horizontal="right" vertical="distributed"/>
    </xf>
    <xf numFmtId="3" fontId="282" fillId="0" borderId="0" xfId="0" applyNumberFormat="1" applyFont="1" applyProtection="1"/>
    <xf numFmtId="186" fontId="0" fillId="0" borderId="0" xfId="0" applyNumberFormat="1" applyProtection="1"/>
    <xf numFmtId="0" fontId="9" fillId="0" borderId="0" xfId="1507" applyFont="1"/>
    <xf numFmtId="0" fontId="2" fillId="27" borderId="3" xfId="921" applyFont="1" applyFill="1" applyBorder="1" applyAlignment="1" applyProtection="1">
      <alignment horizontal="centerContinuous"/>
    </xf>
    <xf numFmtId="175" fontId="2" fillId="0" borderId="3" xfId="1505" applyNumberFormat="1" applyFont="1" applyBorder="1"/>
    <xf numFmtId="0" fontId="2" fillId="0" borderId="0" xfId="1505" applyFont="1"/>
    <xf numFmtId="175" fontId="2" fillId="0" borderId="0" xfId="1505" applyNumberFormat="1" applyFont="1"/>
    <xf numFmtId="0" fontId="2" fillId="0" borderId="0" xfId="1505" applyFont="1" applyAlignment="1">
      <alignment horizontal="center"/>
    </xf>
    <xf numFmtId="184" fontId="2" fillId="0" borderId="0" xfId="1505" applyNumberFormat="1" applyFont="1"/>
    <xf numFmtId="173" fontId="2" fillId="0" borderId="0" xfId="1536" applyNumberFormat="1" applyFont="1" applyBorder="1" applyAlignment="1" applyProtection="1">
      <alignment horizontal="right"/>
    </xf>
    <xf numFmtId="179" fontId="2" fillId="0" borderId="0" xfId="1505" applyNumberFormat="1" applyFont="1"/>
    <xf numFmtId="173" fontId="2" fillId="0" borderId="0" xfId="1536" applyNumberFormat="1" applyFont="1" applyFill="1" applyBorder="1" applyProtection="1"/>
    <xf numFmtId="290" fontId="2" fillId="0" borderId="0" xfId="4" applyNumberFormat="1" applyFont="1" applyFill="1"/>
    <xf numFmtId="172" fontId="2" fillId="0" borderId="0" xfId="1505" applyNumberFormat="1" applyFont="1"/>
    <xf numFmtId="173" fontId="2" fillId="0" borderId="0" xfId="1536" applyNumberFormat="1" applyFont="1" applyFill="1" applyBorder="1" applyAlignment="1" applyProtection="1">
      <alignment horizontal="right"/>
    </xf>
    <xf numFmtId="173" fontId="2" fillId="0" borderId="20" xfId="1536" applyNumberFormat="1" applyFont="1" applyFill="1" applyBorder="1" applyProtection="1"/>
    <xf numFmtId="173" fontId="2" fillId="0" borderId="20" xfId="1536" applyNumberFormat="1" applyFont="1" applyFill="1" applyBorder="1" applyAlignment="1" applyProtection="1">
      <alignment horizontal="right"/>
    </xf>
    <xf numFmtId="173" fontId="2" fillId="27" borderId="23" xfId="1536" applyNumberFormat="1" applyFont="1" applyFill="1" applyBorder="1" applyProtection="1"/>
    <xf numFmtId="240" fontId="2" fillId="27" borderId="11" xfId="1535" applyNumberFormat="1" applyFont="1" applyFill="1" applyBorder="1" applyAlignment="1">
      <alignment horizontal="right" vertical="distributed"/>
    </xf>
    <xf numFmtId="240" fontId="2" fillId="27" borderId="57" xfId="1535" applyNumberFormat="1" applyFont="1" applyFill="1" applyBorder="1" applyAlignment="1">
      <alignment horizontal="right" vertical="distributed"/>
    </xf>
    <xf numFmtId="240" fontId="2" fillId="27" borderId="48" xfId="1535" applyNumberFormat="1" applyFont="1" applyFill="1" applyBorder="1" applyAlignment="1">
      <alignment horizontal="right" vertical="distributed"/>
    </xf>
    <xf numFmtId="193" fontId="2" fillId="0" borderId="0" xfId="1535" applyFont="1" applyFill="1" applyBorder="1" applyAlignment="1">
      <alignment horizontal="right"/>
    </xf>
    <xf numFmtId="173" fontId="2" fillId="27" borderId="21" xfId="1536" applyNumberFormat="1" applyFont="1" applyFill="1" applyBorder="1" applyProtection="1"/>
    <xf numFmtId="240" fontId="2" fillId="27" borderId="0" xfId="1535" applyNumberFormat="1" applyFont="1" applyFill="1" applyBorder="1" applyAlignment="1">
      <alignment horizontal="right" vertical="distributed"/>
    </xf>
    <xf numFmtId="240" fontId="2" fillId="27" borderId="52" xfId="1535" applyNumberFormat="1" applyFont="1" applyFill="1" applyBorder="1" applyAlignment="1">
      <alignment horizontal="right" vertical="distributed"/>
    </xf>
    <xf numFmtId="240" fontId="2" fillId="27" borderId="15" xfId="1535" applyNumberFormat="1" applyFont="1" applyFill="1" applyBorder="1" applyAlignment="1">
      <alignment horizontal="right" vertical="distributed"/>
    </xf>
    <xf numFmtId="173" fontId="2" fillId="27" borderId="21" xfId="1536" applyNumberFormat="1" applyFont="1" applyFill="1" applyBorder="1"/>
    <xf numFmtId="223" fontId="2" fillId="0" borderId="0" xfId="1535" applyNumberFormat="1" applyFont="1" applyFill="1" applyBorder="1" applyAlignment="1">
      <alignment horizontal="right"/>
    </xf>
    <xf numFmtId="173" fontId="2" fillId="27" borderId="16" xfId="1536" applyNumberFormat="1" applyFont="1" applyFill="1" applyBorder="1" applyProtection="1"/>
    <xf numFmtId="173" fontId="2" fillId="27" borderId="3" xfId="1536" applyNumberFormat="1" applyFont="1" applyFill="1" applyBorder="1" applyAlignment="1" applyProtection="1">
      <alignment horizontal="right"/>
    </xf>
    <xf numFmtId="173" fontId="2" fillId="27" borderId="3" xfId="1536" applyNumberFormat="1" applyFont="1" applyFill="1" applyBorder="1" applyProtection="1"/>
    <xf numFmtId="240" fontId="2" fillId="27" borderId="53" xfId="1535" applyNumberFormat="1" applyFont="1" applyFill="1" applyBorder="1" applyAlignment="1">
      <alignment horizontal="right" vertical="distributed"/>
    </xf>
    <xf numFmtId="240" fontId="2" fillId="27" borderId="3" xfId="1535" applyNumberFormat="1" applyFont="1" applyFill="1" applyBorder="1" applyAlignment="1">
      <alignment horizontal="right" vertical="distributed"/>
    </xf>
    <xf numFmtId="240" fontId="2" fillId="27" borderId="33" xfId="1535" applyNumberFormat="1" applyFont="1" applyFill="1" applyBorder="1" applyAlignment="1">
      <alignment horizontal="right" vertical="distributed"/>
    </xf>
    <xf numFmtId="0" fontId="2" fillId="51" borderId="0" xfId="1510" applyFill="1"/>
    <xf numFmtId="175" fontId="2" fillId="51" borderId="0" xfId="1505" applyNumberFormat="1" applyFont="1" applyFill="1"/>
    <xf numFmtId="175" fontId="2" fillId="51" borderId="3" xfId="1505" applyNumberFormat="1" applyFont="1" applyFill="1" applyBorder="1"/>
    <xf numFmtId="0" fontId="2" fillId="27" borderId="0" xfId="1510" applyFill="1"/>
    <xf numFmtId="0" fontId="2" fillId="0" borderId="0" xfId="1510"/>
    <xf numFmtId="0" fontId="2" fillId="51" borderId="0" xfId="1506" applyFont="1" applyFill="1"/>
    <xf numFmtId="222" fontId="2" fillId="51" borderId="0" xfId="1506" applyNumberFormat="1" applyFont="1" applyFill="1" applyAlignment="1">
      <alignment horizontal="right"/>
    </xf>
    <xf numFmtId="175" fontId="2" fillId="51" borderId="0" xfId="1506" applyNumberFormat="1" applyFont="1" applyFill="1" applyAlignment="1">
      <alignment horizontal="right"/>
    </xf>
    <xf numFmtId="222" fontId="2" fillId="51" borderId="3" xfId="1506" applyNumberFormat="1" applyFont="1" applyFill="1" applyBorder="1" applyAlignment="1">
      <alignment horizontal="right"/>
    </xf>
    <xf numFmtId="175" fontId="2" fillId="51" borderId="3" xfId="1506" applyNumberFormat="1" applyFont="1" applyFill="1" applyBorder="1" applyAlignment="1">
      <alignment horizontal="right"/>
    </xf>
    <xf numFmtId="0" fontId="2" fillId="51" borderId="0" xfId="921" applyFont="1" applyFill="1" applyProtection="1"/>
    <xf numFmtId="0" fontId="2" fillId="51" borderId="0" xfId="1511" applyFill="1"/>
    <xf numFmtId="222" fontId="2" fillId="0" borderId="0" xfId="921" applyNumberFormat="1" applyFont="1" applyFill="1" applyBorder="1" applyProtection="1"/>
    <xf numFmtId="0" fontId="2" fillId="0" borderId="0" xfId="921" applyFont="1" applyBorder="1" applyAlignment="1" applyProtection="1">
      <alignment horizontal="center"/>
    </xf>
    <xf numFmtId="0" fontId="2" fillId="0" borderId="0" xfId="921" applyFont="1" applyAlignment="1" applyProtection="1">
      <alignment horizontal="center"/>
    </xf>
    <xf numFmtId="0" fontId="2" fillId="0" borderId="0" xfId="921" applyFont="1" applyFill="1" applyBorder="1" applyProtection="1"/>
    <xf numFmtId="290" fontId="2" fillId="0" borderId="52" xfId="4" applyNumberFormat="1" applyFont="1" applyFill="1" applyBorder="1"/>
    <xf numFmtId="244" fontId="2" fillId="0" borderId="0" xfId="4" applyNumberFormat="1" applyFont="1" applyFill="1"/>
    <xf numFmtId="244" fontId="2" fillId="0" borderId="52" xfId="4" applyNumberFormat="1" applyFont="1" applyFill="1" applyBorder="1"/>
    <xf numFmtId="172" fontId="2" fillId="0" borderId="3" xfId="1505" applyNumberFormat="1" applyFont="1" applyBorder="1"/>
    <xf numFmtId="173" fontId="2" fillId="0" borderId="0" xfId="1536" applyNumberFormat="1" applyFont="1" applyBorder="1"/>
    <xf numFmtId="244" fontId="2" fillId="27" borderId="0" xfId="4" applyNumberFormat="1" applyFont="1" applyFill="1" applyBorder="1"/>
    <xf numFmtId="244" fontId="2" fillId="27" borderId="49" xfId="4" applyNumberFormat="1" applyFont="1" applyFill="1" applyBorder="1"/>
    <xf numFmtId="244" fontId="2" fillId="27" borderId="15" xfId="4" applyNumberFormat="1" applyFont="1" applyFill="1" applyBorder="1"/>
    <xf numFmtId="240" fontId="2" fillId="27" borderId="49" xfId="1535" applyNumberFormat="1" applyFont="1" applyFill="1" applyBorder="1" applyAlignment="1">
      <alignment horizontal="right" vertical="distributed"/>
    </xf>
    <xf numFmtId="240" fontId="2" fillId="27" borderId="50" xfId="1535" applyNumberFormat="1" applyFont="1" applyFill="1" applyBorder="1" applyAlignment="1">
      <alignment horizontal="right" vertical="distributed"/>
    </xf>
    <xf numFmtId="0" fontId="2" fillId="0" borderId="0" xfId="921" applyFont="1" applyFill="1" applyBorder="1" applyAlignment="1" applyProtection="1">
      <alignment vertical="top"/>
    </xf>
    <xf numFmtId="240" fontId="2" fillId="0" borderId="0" xfId="1535" applyNumberFormat="1" applyFont="1" applyBorder="1" applyAlignment="1">
      <alignment horizontal="right" vertical="distributed"/>
    </xf>
    <xf numFmtId="2" fontId="2" fillId="0" borderId="0" xfId="1535" applyNumberFormat="1" applyFont="1" applyFill="1" applyBorder="1" applyAlignment="1">
      <alignment horizontal="right" vertical="distributed"/>
    </xf>
    <xf numFmtId="293" fontId="2" fillId="0" borderId="0" xfId="4" applyNumberFormat="1" applyFont="1" applyFill="1"/>
    <xf numFmtId="173" fontId="2" fillId="0" borderId="0" xfId="921" applyNumberFormat="1" applyFont="1" applyProtection="1"/>
    <xf numFmtId="220" fontId="9" fillId="0" borderId="0" xfId="1508" applyNumberFormat="1" applyFont="1"/>
    <xf numFmtId="174" fontId="9" fillId="0" borderId="0" xfId="1508" applyNumberFormat="1" applyFont="1"/>
    <xf numFmtId="173" fontId="2" fillId="0" borderId="0" xfId="1508" applyNumberFormat="1"/>
    <xf numFmtId="173" fontId="9" fillId="0" borderId="0" xfId="1508" applyNumberFormat="1" applyFont="1"/>
    <xf numFmtId="0" fontId="2" fillId="0" borderId="0" xfId="1508"/>
    <xf numFmtId="0" fontId="2" fillId="0" borderId="0" xfId="921" applyFont="1" applyBorder="1" applyProtection="1"/>
    <xf numFmtId="0" fontId="2" fillId="0" borderId="3" xfId="921" applyFont="1" applyBorder="1" applyProtection="1"/>
    <xf numFmtId="0" fontId="2" fillId="0" borderId="0" xfId="921" applyFont="1" applyFill="1" applyProtection="1"/>
    <xf numFmtId="224" fontId="4" fillId="0" borderId="11" xfId="921" applyNumberFormat="1" applyFont="1" applyBorder="1" applyAlignment="1" applyProtection="1">
      <alignment horizontal="center"/>
    </xf>
    <xf numFmtId="0" fontId="4" fillId="0" borderId="0" xfId="921" applyFont="1" applyFill="1" applyBorder="1" applyProtection="1"/>
    <xf numFmtId="0" fontId="2" fillId="0" borderId="0" xfId="921" applyFont="1" applyFill="1" applyBorder="1" applyAlignment="1" applyProtection="1">
      <alignment horizontal="center"/>
    </xf>
    <xf numFmtId="173" fontId="10" fillId="0" borderId="0" xfId="921" applyNumberFormat="1" applyFont="1" applyFill="1" applyBorder="1" applyProtection="1"/>
    <xf numFmtId="0" fontId="2" fillId="0" borderId="0" xfId="1509"/>
    <xf numFmtId="0" fontId="2" fillId="0" borderId="0" xfId="4" applyFont="1" applyBorder="1"/>
    <xf numFmtId="10" fontId="2" fillId="0" borderId="0" xfId="1535" applyNumberFormat="1" applyFont="1" applyBorder="1" applyAlignment="1">
      <alignment horizontal="right" vertical="distributed"/>
    </xf>
    <xf numFmtId="10" fontId="9" fillId="26" borderId="0" xfId="1535" applyNumberFormat="1" applyFont="1" applyFill="1" applyAlignment="1" applyProtection="1">
      <alignment horizontal="right" vertical="distributed"/>
    </xf>
    <xf numFmtId="10" fontId="4" fillId="27" borderId="0" xfId="1535" applyNumberFormat="1" applyFont="1" applyFill="1" applyBorder="1" applyAlignment="1">
      <alignment horizontal="right" vertical="distributed"/>
    </xf>
    <xf numFmtId="241" fontId="10" fillId="0" borderId="0" xfId="4" applyNumberFormat="1" applyFont="1" applyProtection="1"/>
    <xf numFmtId="240" fontId="0" fillId="26" borderId="33" xfId="1535" applyNumberFormat="1" applyFont="1" applyFill="1" applyBorder="1" applyAlignment="1" applyProtection="1">
      <alignment horizontal="right" vertical="distributed"/>
    </xf>
    <xf numFmtId="240" fontId="9" fillId="26" borderId="3" xfId="1535" applyNumberFormat="1" applyFont="1" applyFill="1" applyBorder="1" applyAlignment="1" applyProtection="1">
      <alignment horizontal="right" vertical="distributed"/>
    </xf>
    <xf numFmtId="240" fontId="0" fillId="26" borderId="15" xfId="1535" applyNumberFormat="1" applyFont="1" applyFill="1" applyBorder="1" applyAlignment="1" applyProtection="1">
      <alignment horizontal="right" vertical="distributed"/>
    </xf>
    <xf numFmtId="240" fontId="0" fillId="26" borderId="48" xfId="1535" applyNumberFormat="1" applyFont="1" applyFill="1" applyBorder="1" applyAlignment="1" applyProtection="1">
      <alignment horizontal="right" vertical="distributed"/>
    </xf>
    <xf numFmtId="240" fontId="0" fillId="26" borderId="11" xfId="1535" applyNumberFormat="1" applyFont="1" applyFill="1" applyBorder="1" applyAlignment="1" applyProtection="1">
      <alignment horizontal="right" vertical="distributed"/>
    </xf>
    <xf numFmtId="240" fontId="9" fillId="26" borderId="11" xfId="1535" applyNumberFormat="1" applyFont="1" applyFill="1" applyBorder="1" applyAlignment="1" applyProtection="1">
      <alignment horizontal="right" vertical="distributed"/>
    </xf>
    <xf numFmtId="240" fontId="0" fillId="0" borderId="14" xfId="1535" applyNumberFormat="1" applyFont="1" applyBorder="1" applyAlignment="1" applyProtection="1">
      <alignment horizontal="right" vertical="distributed"/>
    </xf>
    <xf numFmtId="244" fontId="9" fillId="26" borderId="23" xfId="4" applyNumberFormat="1" applyFont="1" applyFill="1" applyBorder="1" applyProtection="1"/>
    <xf numFmtId="0" fontId="90" fillId="0" borderId="0" xfId="4" applyProtection="1"/>
    <xf numFmtId="240" fontId="0" fillId="26" borderId="3" xfId="1535" applyNumberFormat="1" applyFont="1" applyFill="1" applyBorder="1" applyAlignment="1" applyProtection="1">
      <alignment horizontal="right" vertical="distributed"/>
    </xf>
    <xf numFmtId="240" fontId="0" fillId="26" borderId="0" xfId="1535" applyNumberFormat="1" applyFont="1" applyFill="1" applyAlignment="1" applyProtection="1">
      <alignment horizontal="right" vertical="distributed"/>
    </xf>
    <xf numFmtId="173" fontId="10" fillId="0" borderId="0" xfId="4" applyNumberFormat="1" applyFont="1" applyProtection="1"/>
    <xf numFmtId="0" fontId="9" fillId="26" borderId="16" xfId="4" applyFont="1" applyFill="1" applyBorder="1" applyProtection="1"/>
    <xf numFmtId="0" fontId="9" fillId="26" borderId="21" xfId="4" applyFont="1" applyFill="1" applyBorder="1" applyProtection="1"/>
    <xf numFmtId="244" fontId="0" fillId="26" borderId="48" xfId="4" applyNumberFormat="1" applyFont="1" applyFill="1" applyBorder="1" applyProtection="1"/>
    <xf numFmtId="244" fontId="0" fillId="26" borderId="11" xfId="4" applyNumberFormat="1" applyFont="1" applyFill="1" applyBorder="1" applyProtection="1"/>
    <xf numFmtId="244" fontId="9" fillId="26" borderId="11" xfId="4" applyNumberFormat="1" applyFont="1" applyFill="1" applyBorder="1" applyProtection="1"/>
    <xf numFmtId="0" fontId="9" fillId="26" borderId="23" xfId="1536" applyFont="1" applyFill="1" applyBorder="1" applyProtection="1"/>
    <xf numFmtId="244" fontId="0" fillId="0" borderId="14" xfId="4" applyNumberFormat="1" applyFont="1" applyBorder="1" applyProtection="1"/>
    <xf numFmtId="244" fontId="10" fillId="0" borderId="0" xfId="4" applyNumberFormat="1" applyFont="1" applyProtection="1"/>
    <xf numFmtId="244" fontId="0" fillId="26" borderId="33" xfId="4" applyNumberFormat="1" applyFont="1" applyFill="1" applyBorder="1" applyProtection="1"/>
    <xf numFmtId="244" fontId="0" fillId="26" borderId="3" xfId="4" applyNumberFormat="1" applyFont="1" applyFill="1" applyBorder="1" applyProtection="1"/>
    <xf numFmtId="244" fontId="9" fillId="26" borderId="3" xfId="4" applyNumberFormat="1" applyFont="1" applyFill="1" applyBorder="1" applyProtection="1"/>
    <xf numFmtId="244" fontId="9" fillId="26" borderId="16" xfId="4" applyNumberFormat="1" applyFont="1" applyFill="1" applyBorder="1" applyProtection="1"/>
    <xf numFmtId="244" fontId="9" fillId="26" borderId="21" xfId="4" applyNumberFormat="1" applyFont="1" applyFill="1" applyBorder="1" applyProtection="1"/>
    <xf numFmtId="10" fontId="0" fillId="57" borderId="0" xfId="1536" applyNumberFormat="1" applyFont="1" applyFill="1" applyProtection="1"/>
    <xf numFmtId="2" fontId="4" fillId="27" borderId="29" xfId="1535" applyNumberFormat="1" applyFont="1" applyFill="1" applyBorder="1" applyAlignment="1">
      <alignment horizontal="right" vertical="distributed"/>
    </xf>
    <xf numFmtId="0" fontId="7" fillId="60" borderId="0" xfId="1505" applyFont="1" applyFill="1"/>
    <xf numFmtId="0" fontId="2" fillId="60" borderId="0" xfId="1505" applyFont="1" applyFill="1"/>
    <xf numFmtId="0" fontId="2" fillId="60" borderId="0" xfId="1505" applyFont="1" applyFill="1" applyAlignment="1">
      <alignment horizontal="center"/>
    </xf>
    <xf numFmtId="173" fontId="0" fillId="0" borderId="14" xfId="1536" applyNumberFormat="1" applyFont="1" applyBorder="1" applyProtection="1"/>
    <xf numFmtId="173" fontId="0" fillId="26" borderId="0" xfId="1535" applyNumberFormat="1" applyFont="1" applyFill="1" applyAlignment="1" applyProtection="1">
      <alignment horizontal="right" vertical="distributed"/>
    </xf>
    <xf numFmtId="173" fontId="0" fillId="26" borderId="3" xfId="1535" applyNumberFormat="1" applyFont="1" applyFill="1" applyBorder="1" applyAlignment="1" applyProtection="1">
      <alignment horizontal="right" vertical="distributed"/>
    </xf>
    <xf numFmtId="271" fontId="2" fillId="0" borderId="0" xfId="5" applyNumberFormat="1" applyFont="1" applyFill="1" applyBorder="1" applyProtection="1"/>
    <xf numFmtId="299" fontId="0" fillId="0" borderId="0" xfId="0" applyNumberFormat="1" applyProtection="1"/>
    <xf numFmtId="301" fontId="9" fillId="26" borderId="0" xfId="4" applyNumberFormat="1" applyFont="1" applyFill="1" applyBorder="1"/>
    <xf numFmtId="302" fontId="4" fillId="51" borderId="0" xfId="1506" applyNumberFormat="1" applyFont="1" applyFill="1"/>
    <xf numFmtId="300" fontId="9" fillId="26" borderId="0" xfId="4" applyNumberFormat="1" applyFont="1" applyFill="1"/>
    <xf numFmtId="301" fontId="9" fillId="26" borderId="0" xfId="4" applyNumberFormat="1" applyFont="1" applyFill="1"/>
    <xf numFmtId="303" fontId="2" fillId="51" borderId="3" xfId="921" applyNumberFormat="1" applyFont="1" applyFill="1" applyBorder="1" applyProtection="1"/>
    <xf numFmtId="302" fontId="2" fillId="51" borderId="0" xfId="1506" applyNumberFormat="1" applyFont="1" applyFill="1" applyAlignment="1">
      <alignment horizontal="right"/>
    </xf>
    <xf numFmtId="302" fontId="2" fillId="51" borderId="0" xfId="1506" quotePrefix="1" applyNumberFormat="1" applyFont="1" applyFill="1" applyAlignment="1">
      <alignment horizontal="right"/>
    </xf>
    <xf numFmtId="302" fontId="2" fillId="51" borderId="3" xfId="1506" applyNumberFormat="1" applyFont="1" applyFill="1" applyBorder="1" applyAlignment="1">
      <alignment horizontal="right"/>
    </xf>
    <xf numFmtId="182" fontId="4" fillId="51" borderId="0" xfId="921" applyNumberFormat="1" applyFont="1" applyFill="1" applyBorder="1" applyProtection="1"/>
    <xf numFmtId="4" fontId="4" fillId="51" borderId="0" xfId="921" applyNumberFormat="1" applyFont="1" applyFill="1" applyBorder="1" applyProtection="1"/>
    <xf numFmtId="186" fontId="9" fillId="26" borderId="0" xfId="4" applyNumberFormat="1" applyFont="1" applyFill="1"/>
    <xf numFmtId="10" fontId="9" fillId="26" borderId="0" xfId="1535" quotePrefix="1" applyNumberFormat="1" applyFont="1" applyFill="1" applyAlignment="1" applyProtection="1">
      <alignment horizontal="right" vertical="distributed"/>
    </xf>
    <xf numFmtId="10" fontId="9" fillId="26" borderId="3" xfId="1535" quotePrefix="1" applyNumberFormat="1" applyFont="1" applyFill="1" applyBorder="1" applyAlignment="1" applyProtection="1">
      <alignment horizontal="right" vertical="distributed"/>
    </xf>
    <xf numFmtId="10" fontId="9" fillId="26" borderId="68" xfId="1535" applyNumberFormat="1" applyFont="1" applyFill="1" applyBorder="1" applyAlignment="1" applyProtection="1">
      <alignment horizontal="right"/>
    </xf>
    <xf numFmtId="10" fontId="9" fillId="26" borderId="68" xfId="1535" applyNumberFormat="1" applyFont="1" applyFill="1" applyBorder="1" applyAlignment="1" applyProtection="1">
      <alignment horizontal="right" vertical="distributed"/>
    </xf>
    <xf numFmtId="10" fontId="9" fillId="26" borderId="69" xfId="1535" applyNumberFormat="1" applyFont="1" applyFill="1" applyBorder="1" applyAlignment="1" applyProtection="1">
      <alignment horizontal="right" vertical="distributed"/>
    </xf>
    <xf numFmtId="10" fontId="0" fillId="26" borderId="0" xfId="1535" quotePrefix="1" applyNumberFormat="1" applyFont="1" applyFill="1" applyAlignment="1" applyProtection="1">
      <alignment horizontal="right" vertical="distributed"/>
    </xf>
    <xf numFmtId="10" fontId="0" fillId="26" borderId="69" xfId="1535" quotePrefix="1" applyNumberFormat="1" applyFont="1" applyFill="1" applyBorder="1" applyAlignment="1" applyProtection="1">
      <alignment horizontal="right" vertical="distributed"/>
    </xf>
    <xf numFmtId="10" fontId="0" fillId="26" borderId="3" xfId="1535" quotePrefix="1" applyNumberFormat="1" applyFont="1" applyFill="1" applyBorder="1" applyAlignment="1" applyProtection="1">
      <alignment horizontal="right" vertical="distributed"/>
    </xf>
    <xf numFmtId="10" fontId="0" fillId="26" borderId="71" xfId="1535" quotePrefix="1" applyNumberFormat="1" applyFont="1" applyFill="1" applyBorder="1" applyAlignment="1" applyProtection="1">
      <alignment horizontal="right" vertical="distributed"/>
    </xf>
    <xf numFmtId="10" fontId="0" fillId="0" borderId="14" xfId="1535" applyNumberFormat="1" applyFont="1" applyBorder="1" applyAlignment="1" applyProtection="1">
      <alignment horizontal="right" vertical="distributed"/>
    </xf>
    <xf numFmtId="10" fontId="9" fillId="26" borderId="23" xfId="1535" applyNumberFormat="1" applyFont="1" applyFill="1" applyBorder="1" applyAlignment="1" applyProtection="1">
      <alignment horizontal="right" vertical="distributed"/>
    </xf>
    <xf numFmtId="10" fontId="9" fillId="26" borderId="21" xfId="1535" applyNumberFormat="1" applyFont="1" applyFill="1" applyBorder="1" applyAlignment="1" applyProtection="1">
      <alignment horizontal="right" vertical="distributed"/>
    </xf>
    <xf numFmtId="10" fontId="9" fillId="26" borderId="16" xfId="1535" applyNumberFormat="1" applyFont="1" applyFill="1" applyBorder="1" applyAlignment="1" applyProtection="1">
      <alignment horizontal="right" vertical="distributed"/>
    </xf>
    <xf numFmtId="10" fontId="9" fillId="26" borderId="23" xfId="1535" quotePrefix="1" applyNumberFormat="1" applyFont="1" applyFill="1" applyBorder="1" applyAlignment="1" applyProtection="1">
      <alignment horizontal="right" vertical="distributed"/>
    </xf>
    <xf numFmtId="10" fontId="9" fillId="26" borderId="21" xfId="1535" quotePrefix="1" applyNumberFormat="1" applyFont="1" applyFill="1" applyBorder="1" applyAlignment="1" applyProtection="1">
      <alignment horizontal="right" vertical="distributed"/>
    </xf>
    <xf numFmtId="10" fontId="9" fillId="26" borderId="16" xfId="1535" quotePrefix="1" applyNumberFormat="1" applyFont="1" applyFill="1" applyBorder="1" applyAlignment="1" applyProtection="1">
      <alignment horizontal="right" vertical="distributed"/>
    </xf>
    <xf numFmtId="0" fontId="285" fillId="0" borderId="0" xfId="0" applyFont="1" applyProtection="1"/>
    <xf numFmtId="3" fontId="278" fillId="0" borderId="0" xfId="1730" applyNumberFormat="1" applyProtection="1"/>
    <xf numFmtId="304" fontId="68" fillId="0" borderId="0" xfId="1505" applyNumberFormat="1" applyFont="1"/>
    <xf numFmtId="240" fontId="2" fillId="0" borderId="14" xfId="1535" applyNumberFormat="1" applyFont="1" applyFill="1" applyBorder="1" applyAlignment="1">
      <alignment horizontal="center" vertical="center"/>
    </xf>
    <xf numFmtId="240" fontId="9" fillId="26" borderId="23" xfId="1535" applyNumberFormat="1" applyFont="1" applyFill="1" applyBorder="1" applyAlignment="1">
      <alignment horizontal="center" vertical="center"/>
    </xf>
    <xf numFmtId="240" fontId="9" fillId="26" borderId="11" xfId="1535" applyNumberFormat="1" applyFont="1" applyFill="1" applyBorder="1" applyAlignment="1">
      <alignment horizontal="center" vertical="center"/>
    </xf>
    <xf numFmtId="240" fontId="2" fillId="26" borderId="11" xfId="1535" applyNumberFormat="1" applyFont="1" applyFill="1" applyBorder="1" applyAlignment="1">
      <alignment horizontal="center" vertical="center"/>
    </xf>
    <xf numFmtId="240" fontId="2" fillId="26" borderId="48" xfId="1535" applyNumberFormat="1" applyFont="1" applyFill="1" applyBorder="1" applyAlignment="1">
      <alignment horizontal="center" vertical="center"/>
    </xf>
    <xf numFmtId="240" fontId="9" fillId="26" borderId="21" xfId="1535" applyNumberFormat="1" applyFont="1" applyFill="1" applyBorder="1" applyAlignment="1">
      <alignment horizontal="center" vertical="center"/>
    </xf>
    <xf numFmtId="240" fontId="9" fillId="26" borderId="0" xfId="1535" applyNumberFormat="1" applyFont="1" applyFill="1" applyBorder="1" applyAlignment="1">
      <alignment horizontal="center" vertical="center"/>
    </xf>
    <xf numFmtId="240" fontId="2" fillId="26" borderId="0" xfId="1535" applyNumberFormat="1" applyFont="1" applyFill="1" applyBorder="1" applyAlignment="1">
      <alignment horizontal="center" vertical="center"/>
    </xf>
    <xf numFmtId="240" fontId="2" fillId="26" borderId="15" xfId="1535" applyNumberFormat="1" applyFont="1" applyFill="1" applyBorder="1" applyAlignment="1">
      <alignment horizontal="center" vertical="center"/>
    </xf>
    <xf numFmtId="173" fontId="2" fillId="0" borderId="14" xfId="921" applyNumberFormat="1" applyFont="1" applyBorder="1" applyAlignment="1" applyProtection="1">
      <alignment horizontal="center" vertical="center"/>
    </xf>
    <xf numFmtId="241" fontId="9" fillId="26" borderId="23" xfId="4" applyNumberFormat="1" applyFont="1" applyFill="1" applyBorder="1" applyAlignment="1">
      <alignment horizontal="center" vertical="center"/>
    </xf>
    <xf numFmtId="241" fontId="9" fillId="26" borderId="11" xfId="4" applyNumberFormat="1" applyFont="1" applyFill="1" applyBorder="1" applyAlignment="1">
      <alignment horizontal="center" vertical="center"/>
    </xf>
    <xf numFmtId="241" fontId="2" fillId="26" borderId="11" xfId="4" applyNumberFormat="1" applyFont="1" applyFill="1" applyBorder="1" applyAlignment="1">
      <alignment horizontal="center" vertical="center"/>
    </xf>
    <xf numFmtId="241" fontId="2" fillId="26" borderId="48" xfId="4" applyNumberFormat="1" applyFont="1" applyFill="1" applyBorder="1" applyAlignment="1">
      <alignment horizontal="center" vertical="center"/>
    </xf>
    <xf numFmtId="241" fontId="9" fillId="26" borderId="21" xfId="4" applyNumberFormat="1" applyFont="1" applyFill="1" applyBorder="1" applyAlignment="1">
      <alignment horizontal="center" vertical="center"/>
    </xf>
    <xf numFmtId="241" fontId="9" fillId="26" borderId="0" xfId="4" applyNumberFormat="1" applyFont="1" applyFill="1" applyBorder="1" applyAlignment="1">
      <alignment horizontal="center" vertical="center"/>
    </xf>
    <xf numFmtId="241" fontId="2" fillId="26" borderId="0" xfId="4" applyNumberFormat="1" applyFont="1" applyFill="1" applyBorder="1" applyAlignment="1">
      <alignment horizontal="center" vertical="center"/>
    </xf>
    <xf numFmtId="241" fontId="2" fillId="26" borderId="15" xfId="4" applyNumberFormat="1" applyFont="1" applyFill="1" applyBorder="1" applyAlignment="1">
      <alignment horizontal="center" vertical="center"/>
    </xf>
    <xf numFmtId="173" fontId="2" fillId="0" borderId="11" xfId="921" applyNumberFormat="1" applyFont="1" applyFill="1" applyBorder="1" applyAlignment="1" applyProtection="1">
      <alignment horizontal="center" vertical="center"/>
    </xf>
    <xf numFmtId="173" fontId="10" fillId="0" borderId="0" xfId="921" applyNumberFormat="1" applyFont="1" applyBorder="1" applyAlignment="1" applyProtection="1">
      <alignment horizontal="center" vertical="center"/>
    </xf>
    <xf numFmtId="240" fontId="9" fillId="26" borderId="16" xfId="1535" applyNumberFormat="1" applyFont="1" applyFill="1" applyBorder="1" applyAlignment="1">
      <alignment horizontal="center" vertical="center"/>
    </xf>
    <xf numFmtId="240" fontId="9" fillId="26" borderId="3" xfId="1535" applyNumberFormat="1" applyFont="1" applyFill="1" applyBorder="1" applyAlignment="1">
      <alignment horizontal="center" vertical="center"/>
    </xf>
    <xf numFmtId="240" fontId="2" fillId="26" borderId="3" xfId="1535" applyNumberFormat="1" applyFont="1" applyFill="1" applyBorder="1" applyAlignment="1">
      <alignment horizontal="center" vertical="center"/>
    </xf>
    <xf numFmtId="240" fontId="2" fillId="26" borderId="33" xfId="1535" applyNumberFormat="1" applyFont="1" applyFill="1" applyBorder="1" applyAlignment="1">
      <alignment horizontal="center" vertical="center"/>
    </xf>
    <xf numFmtId="0" fontId="286" fillId="0" borderId="0" xfId="0" applyFont="1" applyProtection="1"/>
    <xf numFmtId="0" fontId="8" fillId="60" borderId="0" xfId="921" applyFont="1" applyFill="1" applyProtection="1"/>
    <xf numFmtId="290" fontId="4" fillId="60" borderId="0" xfId="4" applyNumberFormat="1" applyFont="1" applyFill="1" applyBorder="1"/>
    <xf numFmtId="0" fontId="5" fillId="60" borderId="0" xfId="921" applyFont="1" applyFill="1" applyBorder="1" applyProtection="1"/>
    <xf numFmtId="0" fontId="7" fillId="60" borderId="0" xfId="921" applyFont="1" applyFill="1" applyProtection="1"/>
    <xf numFmtId="173" fontId="21" fillId="60" borderId="0" xfId="1536" applyNumberFormat="1" applyFont="1" applyFill="1" applyProtection="1"/>
    <xf numFmtId="0" fontId="4" fillId="60" borderId="3" xfId="921" applyFont="1" applyFill="1" applyBorder="1" applyProtection="1"/>
    <xf numFmtId="0" fontId="7" fillId="60" borderId="0" xfId="921" applyFont="1" applyFill="1" applyBorder="1" applyProtection="1"/>
    <xf numFmtId="290" fontId="2" fillId="60" borderId="0" xfId="4" applyNumberFormat="1" applyFont="1" applyFill="1"/>
    <xf numFmtId="0" fontId="283" fillId="60" borderId="0" xfId="921" applyFont="1" applyFill="1" applyBorder="1" applyProtection="1"/>
    <xf numFmtId="178" fontId="283" fillId="60" borderId="0" xfId="4" applyNumberFormat="1" applyFont="1" applyFill="1"/>
    <xf numFmtId="0" fontId="70" fillId="60" borderId="0" xfId="921" applyFont="1" applyFill="1" applyBorder="1" applyProtection="1"/>
    <xf numFmtId="179" fontId="2" fillId="60" borderId="3" xfId="921" applyNumberFormat="1" applyFont="1" applyFill="1" applyBorder="1" applyProtection="1"/>
    <xf numFmtId="241" fontId="10" fillId="60" borderId="0" xfId="4" applyNumberFormat="1" applyFont="1" applyFill="1" applyBorder="1" applyAlignment="1">
      <alignment horizontal="right"/>
    </xf>
    <xf numFmtId="171" fontId="6" fillId="60" borderId="0" xfId="921" applyNumberFormat="1" applyFont="1" applyFill="1" applyBorder="1" applyProtection="1"/>
    <xf numFmtId="0" fontId="8" fillId="60" borderId="0" xfId="921" applyFont="1" applyFill="1" applyBorder="1" applyProtection="1"/>
    <xf numFmtId="0" fontId="7" fillId="60" borderId="0" xfId="1505" applyFont="1" applyFill="1" applyAlignment="1">
      <alignment horizontal="center"/>
    </xf>
    <xf numFmtId="0" fontId="8" fillId="60" borderId="0" xfId="1505" applyFont="1" applyFill="1"/>
    <xf numFmtId="298" fontId="7" fillId="60" borderId="0" xfId="1505" applyNumberFormat="1" applyFont="1" applyFill="1"/>
    <xf numFmtId="0" fontId="6" fillId="60" borderId="0" xfId="1505" applyFont="1" applyFill="1"/>
    <xf numFmtId="241" fontId="2" fillId="60" borderId="0" xfId="4" applyNumberFormat="1" applyFont="1" applyFill="1" applyBorder="1"/>
    <xf numFmtId="0" fontId="14" fillId="60" borderId="0" xfId="1505" applyFill="1"/>
    <xf numFmtId="172" fontId="2" fillId="60" borderId="0" xfId="1505" applyNumberFormat="1" applyFont="1" applyFill="1"/>
    <xf numFmtId="297" fontId="271" fillId="60" borderId="0" xfId="1728" applyNumberFormat="1" applyFill="1">
      <alignment horizontal="right" vertical="center"/>
    </xf>
    <xf numFmtId="0" fontId="8" fillId="60" borderId="0" xfId="921" applyFont="1" applyFill="1" applyBorder="1" applyAlignment="1" applyProtection="1">
      <alignment horizontal="right" vertical="distributed" textRotation="90"/>
      <protection locked="0"/>
    </xf>
    <xf numFmtId="173" fontId="4" fillId="60" borderId="0" xfId="1536" applyNumberFormat="1" applyFont="1" applyFill="1" applyBorder="1"/>
    <xf numFmtId="0" fontId="7" fillId="60" borderId="0" xfId="921" applyFont="1" applyFill="1" applyBorder="1" applyAlignment="1" applyProtection="1">
      <alignment horizontal="center"/>
    </xf>
    <xf numFmtId="173" fontId="82" fillId="60" borderId="0" xfId="1536" applyNumberFormat="1" applyFont="1" applyFill="1" applyBorder="1" applyAlignment="1" applyProtection="1">
      <alignment horizontal="center"/>
    </xf>
    <xf numFmtId="186" fontId="80" fillId="60" borderId="0" xfId="921" applyNumberFormat="1" applyFont="1" applyFill="1" applyBorder="1" applyAlignment="1" applyProtection="1">
      <alignment horizontal="center"/>
    </xf>
    <xf numFmtId="0" fontId="4" fillId="60" borderId="0" xfId="921" applyFont="1" applyFill="1" applyBorder="1" applyAlignment="1" applyProtection="1">
      <alignment horizontal="center"/>
    </xf>
    <xf numFmtId="185" fontId="4" fillId="60" borderId="0" xfId="921" applyNumberFormat="1" applyFont="1" applyFill="1" applyBorder="1" applyAlignment="1" applyProtection="1">
      <alignment horizontal="center"/>
    </xf>
    <xf numFmtId="174" fontId="81" fillId="60" borderId="0" xfId="921" applyNumberFormat="1" applyFont="1" applyFill="1" applyBorder="1" applyProtection="1"/>
    <xf numFmtId="173" fontId="7" fillId="60" borderId="0" xfId="921" applyNumberFormat="1" applyFont="1" applyFill="1" applyBorder="1" applyAlignment="1" applyProtection="1">
      <alignment horizontal="center"/>
    </xf>
    <xf numFmtId="173" fontId="19" fillId="60" borderId="0" xfId="1536" applyNumberFormat="1" applyFont="1" applyFill="1" applyBorder="1"/>
    <xf numFmtId="173" fontId="2" fillId="60" borderId="0" xfId="1536" applyNumberFormat="1" applyFont="1" applyFill="1" applyBorder="1" applyProtection="1"/>
    <xf numFmtId="172" fontId="4" fillId="60" borderId="0" xfId="921" applyNumberFormat="1" applyFont="1" applyFill="1" applyBorder="1" applyProtection="1"/>
    <xf numFmtId="173" fontId="2" fillId="60" borderId="20" xfId="1536" applyNumberFormat="1" applyFont="1" applyFill="1" applyBorder="1" applyProtection="1"/>
    <xf numFmtId="0" fontId="8" fillId="60" borderId="20" xfId="921" applyFont="1" applyFill="1" applyBorder="1" applyProtection="1"/>
    <xf numFmtId="172" fontId="4" fillId="60" borderId="20" xfId="921" applyNumberFormat="1" applyFont="1" applyFill="1" applyBorder="1" applyProtection="1"/>
    <xf numFmtId="0" fontId="4" fillId="60" borderId="3" xfId="921" applyFont="1" applyFill="1" applyBorder="1" applyAlignment="1" applyProtection="1">
      <alignment horizontal="centerContinuous"/>
    </xf>
    <xf numFmtId="0" fontId="68" fillId="60" borderId="0" xfId="1505" applyFont="1" applyFill="1"/>
    <xf numFmtId="0" fontId="7" fillId="60" borderId="23" xfId="921" applyFont="1" applyFill="1" applyBorder="1" applyAlignment="1" applyProtection="1">
      <alignment horizontal="center"/>
    </xf>
    <xf numFmtId="0" fontId="7" fillId="60" borderId="21" xfId="921" applyFont="1" applyFill="1" applyBorder="1" applyAlignment="1" applyProtection="1">
      <alignment horizontal="center"/>
    </xf>
    <xf numFmtId="0" fontId="7" fillId="60" borderId="11" xfId="921" applyFont="1" applyFill="1" applyBorder="1" applyAlignment="1" applyProtection="1">
      <alignment horizontal="center"/>
    </xf>
    <xf numFmtId="173" fontId="7" fillId="60" borderId="23" xfId="921" applyNumberFormat="1" applyFont="1" applyFill="1" applyBorder="1" applyAlignment="1" applyProtection="1">
      <alignment horizontal="center"/>
    </xf>
    <xf numFmtId="173" fontId="7" fillId="60" borderId="21" xfId="921" applyNumberFormat="1" applyFont="1" applyFill="1" applyBorder="1" applyAlignment="1" applyProtection="1">
      <alignment horizontal="center"/>
    </xf>
    <xf numFmtId="173" fontId="7" fillId="60" borderId="11" xfId="921" applyNumberFormat="1" applyFont="1" applyFill="1" applyBorder="1" applyAlignment="1" applyProtection="1">
      <alignment horizontal="center"/>
    </xf>
    <xf numFmtId="185" fontId="7" fillId="60" borderId="23" xfId="921" applyNumberFormat="1" applyFont="1" applyFill="1" applyBorder="1" applyAlignment="1" applyProtection="1">
      <alignment horizontal="center"/>
    </xf>
    <xf numFmtId="185" fontId="7" fillId="60" borderId="21" xfId="921" applyNumberFormat="1" applyFont="1" applyFill="1" applyBorder="1" applyAlignment="1" applyProtection="1">
      <alignment horizontal="center"/>
    </xf>
    <xf numFmtId="185" fontId="7" fillId="60" borderId="0" xfId="921" applyNumberFormat="1" applyFont="1" applyFill="1" applyBorder="1" applyAlignment="1" applyProtection="1">
      <alignment horizontal="center"/>
    </xf>
    <xf numFmtId="185" fontId="7" fillId="60" borderId="11" xfId="921" applyNumberFormat="1" applyFont="1" applyFill="1" applyBorder="1" applyAlignment="1" applyProtection="1">
      <alignment horizontal="center"/>
    </xf>
    <xf numFmtId="193" fontId="10" fillId="60" borderId="0" xfId="1535" applyFont="1" applyFill="1" applyBorder="1" applyAlignment="1">
      <alignment horizontal="right"/>
    </xf>
    <xf numFmtId="193" fontId="10" fillId="60" borderId="20" xfId="1535" applyFont="1" applyFill="1" applyBorder="1" applyAlignment="1">
      <alignment horizontal="right"/>
    </xf>
    <xf numFmtId="0" fontId="4" fillId="60" borderId="3" xfId="921" applyFont="1" applyFill="1" applyBorder="1" applyAlignment="1" applyProtection="1">
      <alignment horizontal="center"/>
    </xf>
    <xf numFmtId="0" fontId="70" fillId="60" borderId="0" xfId="1505" applyFont="1" applyFill="1"/>
    <xf numFmtId="297" fontId="268" fillId="60" borderId="66" xfId="1726" applyNumberFormat="1" applyFill="1" applyBorder="1">
      <alignment horizontal="right" vertical="center"/>
    </xf>
    <xf numFmtId="173" fontId="10" fillId="60" borderId="0" xfId="1536" applyNumberFormat="1" applyFont="1" applyFill="1" applyAlignment="1" applyProtection="1">
      <alignment horizontal="center"/>
    </xf>
    <xf numFmtId="290" fontId="4" fillId="60" borderId="0" xfId="4" applyNumberFormat="1" applyFont="1" applyFill="1"/>
    <xf numFmtId="0" fontId="10" fillId="60" borderId="0" xfId="1505" applyFont="1" applyFill="1" applyAlignment="1">
      <alignment horizontal="left"/>
    </xf>
    <xf numFmtId="173" fontId="10" fillId="60" borderId="0" xfId="1536" applyNumberFormat="1" applyFont="1" applyFill="1" applyAlignment="1" applyProtection="1">
      <alignment horizontal="right"/>
    </xf>
    <xf numFmtId="241" fontId="10" fillId="60" borderId="49" xfId="4" applyNumberFormat="1" applyFont="1" applyFill="1" applyBorder="1" applyAlignment="1">
      <alignment horizontal="right"/>
    </xf>
    <xf numFmtId="0" fontId="2" fillId="60" borderId="0" xfId="1505" applyFont="1" applyFill="1" applyAlignment="1">
      <alignment horizontal="left"/>
    </xf>
    <xf numFmtId="175" fontId="2" fillId="60" borderId="3" xfId="1505" applyNumberFormat="1" applyFont="1" applyFill="1" applyBorder="1"/>
    <xf numFmtId="0" fontId="8" fillId="60" borderId="0" xfId="1505" applyFont="1" applyFill="1" applyAlignment="1">
      <alignment horizontal="left"/>
    </xf>
    <xf numFmtId="290" fontId="4" fillId="60" borderId="49" xfId="4" applyNumberFormat="1" applyFont="1" applyFill="1" applyBorder="1"/>
    <xf numFmtId="175" fontId="2" fillId="60" borderId="50" xfId="1505" applyNumberFormat="1" applyFont="1" applyFill="1" applyBorder="1"/>
    <xf numFmtId="0" fontId="2" fillId="60" borderId="49" xfId="1505" applyFont="1" applyFill="1" applyBorder="1"/>
    <xf numFmtId="175" fontId="2" fillId="60" borderId="0" xfId="1505" applyNumberFormat="1" applyFont="1" applyFill="1"/>
    <xf numFmtId="175" fontId="2" fillId="60" borderId="49" xfId="1505" applyNumberFormat="1" applyFont="1" applyFill="1" applyBorder="1"/>
    <xf numFmtId="175" fontId="20" fillId="60" borderId="0" xfId="1505" applyNumberFormat="1" applyFont="1" applyFill="1"/>
    <xf numFmtId="175" fontId="20" fillId="60" borderId="3" xfId="1505" applyNumberFormat="1" applyFont="1" applyFill="1" applyBorder="1"/>
    <xf numFmtId="0" fontId="4" fillId="60" borderId="0" xfId="921" applyFont="1" applyFill="1" applyProtection="1"/>
    <xf numFmtId="0" fontId="2" fillId="60" borderId="0" xfId="921" applyFont="1" applyFill="1" applyProtection="1"/>
    <xf numFmtId="0" fontId="4" fillId="60" borderId="0" xfId="1505" applyFont="1" applyFill="1"/>
    <xf numFmtId="239" fontId="4" fillId="60" borderId="3" xfId="1505" applyNumberFormat="1" applyFont="1" applyFill="1" applyBorder="1" applyAlignment="1">
      <alignment horizontal="center"/>
    </xf>
    <xf numFmtId="0" fontId="4" fillId="60" borderId="3" xfId="1505" applyFont="1" applyFill="1" applyBorder="1" applyAlignment="1">
      <alignment horizontal="center"/>
    </xf>
    <xf numFmtId="0" fontId="8" fillId="60" borderId="0" xfId="1505" applyFont="1" applyFill="1" applyAlignment="1">
      <alignment horizontal="center"/>
    </xf>
    <xf numFmtId="10" fontId="0" fillId="0" borderId="0" xfId="0" applyNumberFormat="1" applyAlignment="1" applyProtection="1">
      <alignment horizontal="left"/>
    </xf>
    <xf numFmtId="0" fontId="0" fillId="0" borderId="0" xfId="0" applyAlignment="1" applyProtection="1">
      <alignment horizontal="left" vertical="top" wrapText="1"/>
    </xf>
    <xf numFmtId="0" fontId="4" fillId="51" borderId="3" xfId="1510" applyFont="1" applyFill="1" applyBorder="1" applyAlignment="1">
      <alignment horizontal="left"/>
    </xf>
    <xf numFmtId="0" fontId="4" fillId="27" borderId="3" xfId="921" applyFont="1" applyFill="1" applyBorder="1" applyAlignment="1" applyProtection="1">
      <alignment horizontal="center"/>
    </xf>
    <xf numFmtId="0" fontId="82" fillId="23" borderId="0" xfId="1505" applyFont="1" applyFill="1" applyAlignment="1">
      <alignment horizontal="center"/>
    </xf>
    <xf numFmtId="0" fontId="8" fillId="0" borderId="0" xfId="921" applyFont="1" applyBorder="1" applyAlignment="1" applyProtection="1">
      <alignment horizontal="right" vertical="distributed" textRotation="90"/>
      <protection locked="0"/>
    </xf>
    <xf numFmtId="0" fontId="8" fillId="60" borderId="0" xfId="921" applyFont="1" applyFill="1" applyBorder="1" applyAlignment="1" applyProtection="1">
      <alignment horizontal="right" vertical="distributed" textRotation="90"/>
      <protection locked="0"/>
    </xf>
    <xf numFmtId="173" fontId="82" fillId="23" borderId="0" xfId="1536" applyNumberFormat="1" applyFont="1" applyFill="1" applyBorder="1" applyAlignment="1" applyProtection="1">
      <alignment horizontal="center"/>
    </xf>
    <xf numFmtId="0" fontId="86" fillId="27" borderId="3" xfId="921" applyFont="1" applyFill="1" applyBorder="1" applyAlignment="1" applyProtection="1">
      <alignment horizontal="center"/>
    </xf>
    <xf numFmtId="0" fontId="4" fillId="0" borderId="3" xfId="921" applyFont="1" applyBorder="1" applyAlignment="1" applyProtection="1">
      <alignment horizontal="center"/>
    </xf>
    <xf numFmtId="0" fontId="4" fillId="0" borderId="0" xfId="0" applyFont="1" applyBorder="1" applyAlignment="1" applyProtection="1">
      <alignment horizontal="left" vertical="center"/>
    </xf>
    <xf numFmtId="0" fontId="0" fillId="0" borderId="68" xfId="0" applyBorder="1" applyAlignment="1" applyProtection="1">
      <alignment wrapText="1"/>
    </xf>
    <xf numFmtId="0" fontId="0" fillId="0" borderId="0" xfId="0" applyBorder="1" applyProtection="1"/>
    <xf numFmtId="0" fontId="4" fillId="58" borderId="0" xfId="0" applyFont="1" applyFill="1" applyBorder="1" applyAlignment="1" applyProtection="1">
      <alignment horizontal="left" vertical="center"/>
    </xf>
    <xf numFmtId="0" fontId="4" fillId="58" borderId="68" xfId="0" applyFont="1" applyFill="1" applyBorder="1" applyAlignment="1" applyProtection="1">
      <alignment horizontal="left" vertical="center"/>
    </xf>
    <xf numFmtId="0" fontId="0" fillId="59" borderId="68" xfId="0" applyFill="1" applyBorder="1" applyAlignment="1" applyProtection="1">
      <alignment vertical="top" wrapText="1"/>
    </xf>
    <xf numFmtId="0" fontId="0" fillId="59" borderId="0" xfId="0" applyFill="1" applyBorder="1" applyAlignment="1" applyProtection="1">
      <alignment vertical="top" wrapText="1"/>
    </xf>
    <xf numFmtId="0" fontId="0" fillId="0" borderId="0" xfId="0" applyBorder="1" applyAlignment="1" applyProtection="1">
      <alignment wrapText="1"/>
    </xf>
    <xf numFmtId="0" fontId="0" fillId="0" borderId="69" xfId="0" applyBorder="1" applyProtection="1"/>
    <xf numFmtId="0" fontId="0" fillId="0" borderId="0" xfId="0" applyBorder="1" applyAlignment="1" applyProtection="1">
      <alignment vertical="center" wrapText="1"/>
    </xf>
    <xf numFmtId="0" fontId="0" fillId="0" borderId="69" xfId="0" applyBorder="1" applyAlignment="1" applyProtection="1">
      <alignment vertical="center" wrapText="1"/>
    </xf>
    <xf numFmtId="0" fontId="275" fillId="0" borderId="0" xfId="0" applyFont="1" applyBorder="1" applyAlignment="1" applyProtection="1">
      <alignment wrapText="1"/>
    </xf>
    <xf numFmtId="0" fontId="275" fillId="0" borderId="0" xfId="0" applyFont="1" applyBorder="1" applyProtection="1"/>
    <xf numFmtId="0" fontId="275" fillId="0" borderId="69" xfId="0" applyFont="1" applyBorder="1" applyProtection="1"/>
    <xf numFmtId="0" fontId="0" fillId="0" borderId="69" xfId="0" applyBorder="1" applyAlignment="1" applyProtection="1">
      <alignment wrapText="1"/>
    </xf>
    <xf numFmtId="0" fontId="275" fillId="0" borderId="69" xfId="0" applyFont="1" applyBorder="1" applyAlignment="1" applyProtection="1">
      <alignment wrapText="1"/>
    </xf>
    <xf numFmtId="0" fontId="275" fillId="0" borderId="0" xfId="0" applyFont="1" applyAlignment="1" applyProtection="1">
      <alignment wrapText="1"/>
    </xf>
    <xf numFmtId="0" fontId="277" fillId="0" borderId="68" xfId="0" applyFont="1" applyBorder="1" applyAlignment="1" applyProtection="1">
      <alignment horizontal="left" wrapText="1"/>
    </xf>
    <xf numFmtId="0" fontId="277" fillId="0" borderId="0" xfId="0" applyFont="1" applyBorder="1" applyAlignment="1" applyProtection="1">
      <alignment horizontal="left" wrapText="1"/>
    </xf>
    <xf numFmtId="0" fontId="0" fillId="0" borderId="64" xfId="0" applyBorder="1" applyAlignment="1" applyProtection="1">
      <alignment wrapText="1"/>
    </xf>
    <xf numFmtId="0" fontId="0" fillId="0" borderId="64" xfId="0" applyBorder="1" applyProtection="1"/>
    <xf numFmtId="0" fontId="0" fillId="0" borderId="63" xfId="0" applyBorder="1" applyProtection="1"/>
  </cellXfs>
  <cellStyles count="1731">
    <cellStyle name="-" xfId="2" xr:uid="{00000000-0005-0000-0000-000000000000}"/>
    <cellStyle name="_x000a_386grabber=M" xfId="4" xr:uid="{00000000-0005-0000-0000-000001000000}"/>
    <cellStyle name="_x000a_386grabber=M_3.49.WACC" xfId="5" xr:uid="{00000000-0005-0000-0000-000002000000}"/>
    <cellStyle name="_x000d__x000a_JournalTemplate=C:\COMFO\CTALK\JOURSTD.TPL_x000d__x000a_LbStateAddress=3 3 0 251 1 89 2 311_x000d__x000a_LbStateJou" xfId="6" xr:uid="{00000000-0005-0000-0000-000003000000}"/>
    <cellStyle name="&quot;X&quot; Men" xfId="7" xr:uid="{00000000-0005-0000-0000-000004000000}"/>
    <cellStyle name="#" xfId="8" xr:uid="{00000000-0005-0000-0000-000005000000}"/>
    <cellStyle name="#-" xfId="9" xr:uid="{00000000-0005-0000-0000-000006000000}"/>
    <cellStyle name="#_Contribution analysis" xfId="10" xr:uid="{00000000-0005-0000-0000-000007000000}"/>
    <cellStyle name="#-_Contribution analysis" xfId="11" xr:uid="{00000000-0005-0000-0000-000008000000}"/>
    <cellStyle name="#_DCF" xfId="12" xr:uid="{00000000-0005-0000-0000-000009000000}"/>
    <cellStyle name="#-_DCF" xfId="13" xr:uid="{00000000-0005-0000-0000-00000A000000}"/>
    <cellStyle name="#_LBO - 5dny0912" xfId="14" xr:uid="{00000000-0005-0000-0000-00000B000000}"/>
    <cellStyle name="#-_LBO - 5dny0912" xfId="15" xr:uid="{00000000-0005-0000-0000-00000C000000}"/>
    <cellStyle name="#_Model output pages" xfId="16" xr:uid="{00000000-0005-0000-0000-00000D000000}"/>
    <cellStyle name="#-_Model output pages" xfId="17" xr:uid="{00000000-0005-0000-0000-00000E000000}"/>
    <cellStyle name="#_Project Horseshoe - Merger Model (May 2006) v.33 (DRAFT)" xfId="18" xr:uid="{00000000-0005-0000-0000-00000F000000}"/>
    <cellStyle name="#-_Project Horseshoe - Merger Model (May 2006) v.33 (DRAFT)" xfId="19" xr:uid="{00000000-0005-0000-0000-000010000000}"/>
    <cellStyle name="#_Spider LBO" xfId="20" xr:uid="{00000000-0005-0000-0000-000011000000}"/>
    <cellStyle name="#-_Spider LBO" xfId="21" xr:uid="{00000000-0005-0000-0000-000012000000}"/>
    <cellStyle name="#_Valuation Template Summary (v.5)" xfId="22" xr:uid="{00000000-0005-0000-0000-000013000000}"/>
    <cellStyle name="#-_Valuation Template Summary (v.5)" xfId="23" xr:uid="{00000000-0005-0000-0000-000014000000}"/>
    <cellStyle name="#_WACC - 5dny0907" xfId="24" xr:uid="{00000000-0005-0000-0000-000015000000}"/>
    <cellStyle name="#-_WACC - 5dny0907" xfId="25" xr:uid="{00000000-0005-0000-0000-000016000000}"/>
    <cellStyle name="$" xfId="26" xr:uid="{00000000-0005-0000-0000-000017000000}"/>
    <cellStyle name="$-" xfId="27" xr:uid="{00000000-0005-0000-0000-000018000000}"/>
    <cellStyle name="$ &amp; ¢" xfId="28" xr:uid="{00000000-0005-0000-0000-000019000000}"/>
    <cellStyle name="$_101306 CanWest Excel BAck up v14" xfId="29" xr:uid="{00000000-0005-0000-0000-00001A000000}"/>
    <cellStyle name="$_BCE Model 1-8-07" xfId="30" xr:uid="{00000000-0005-0000-0000-00001B000000}"/>
    <cellStyle name="$_Contribution analysis" xfId="31" xr:uid="{00000000-0005-0000-0000-00001C000000}"/>
    <cellStyle name="$-_Contribution analysis" xfId="32" xr:uid="{00000000-0005-0000-0000-00001D000000}"/>
    <cellStyle name="$_DCF" xfId="33" xr:uid="{00000000-0005-0000-0000-00001E000000}"/>
    <cellStyle name="$-_DCF" xfId="34" xr:uid="{00000000-0005-0000-0000-00001F000000}"/>
    <cellStyle name="$_FS" xfId="35" xr:uid="{00000000-0005-0000-0000-000020000000}"/>
    <cellStyle name="$_ILEC LBO" xfId="36" xr:uid="{00000000-0005-0000-0000-000021000000}"/>
    <cellStyle name="$_LBO - 5dny0912" xfId="37" xr:uid="{00000000-0005-0000-0000-000022000000}"/>
    <cellStyle name="$-_LBO - 5dny0912" xfId="38" xr:uid="{00000000-0005-0000-0000-000023000000}"/>
    <cellStyle name="$_Model output pages" xfId="39" xr:uid="{00000000-0005-0000-0000-000024000000}"/>
    <cellStyle name="$-_Model output pages" xfId="40" xr:uid="{00000000-0005-0000-0000-000025000000}"/>
    <cellStyle name="$_NeptunePIA LBO Model 9-2-03 Final Deepak Final" xfId="41" xr:uid="{00000000-0005-0000-0000-000026000000}"/>
    <cellStyle name="$_Pro forma ownership analysis_06.12.02_v9" xfId="42" xr:uid="{00000000-0005-0000-0000-000027000000}"/>
    <cellStyle name="$_Project Horseshoe - Merger Model (May 2006) v.33 (DRAFT)" xfId="43" xr:uid="{00000000-0005-0000-0000-000028000000}"/>
    <cellStyle name="$-_Project Horseshoe - Merger Model (May 2006) v.33 (DRAFT)" xfId="44" xr:uid="{00000000-0005-0000-0000-000029000000}"/>
    <cellStyle name="$_Spider LBO" xfId="45" xr:uid="{00000000-0005-0000-0000-00002A000000}"/>
    <cellStyle name="$-_Spider LBO" xfId="46" xr:uid="{00000000-0005-0000-0000-00002B000000}"/>
    <cellStyle name="$_Valuation Template Summary (v.5)" xfId="47" xr:uid="{00000000-0005-0000-0000-00002C000000}"/>
    <cellStyle name="$-_Valuation Template Summary (v.5)" xfId="48" xr:uid="{00000000-0005-0000-0000-00002D000000}"/>
    <cellStyle name="$_WACC - 5dny0907" xfId="49" xr:uid="{00000000-0005-0000-0000-00002E000000}"/>
    <cellStyle name="$-_WACC - 5dny0907" xfId="50" xr:uid="{00000000-0005-0000-0000-00002F000000}"/>
    <cellStyle name="$0.00" xfId="51" xr:uid="{00000000-0005-0000-0000-000030000000}"/>
    <cellStyle name="$m" xfId="52" xr:uid="{00000000-0005-0000-0000-000031000000}"/>
    <cellStyle name="$MILLS" xfId="53" xr:uid="{00000000-0005-0000-0000-000032000000}"/>
    <cellStyle name="%" xfId="82" xr:uid="{00000000-0005-0000-0000-000033000000}"/>
    <cellStyle name="%-" xfId="54" xr:uid="{00000000-0005-0000-0000-000034000000}"/>
    <cellStyle name="% Growth" xfId="55" xr:uid="{00000000-0005-0000-0000-000035000000}"/>
    <cellStyle name="% Input" xfId="56" xr:uid="{00000000-0005-0000-0000-000036000000}"/>
    <cellStyle name="% of Revenues" xfId="57" xr:uid="{00000000-0005-0000-0000-000037000000}"/>
    <cellStyle name="% Presentation" xfId="58" xr:uid="{00000000-0005-0000-0000-000038000000}"/>
    <cellStyle name="%.0" xfId="59" xr:uid="{00000000-0005-0000-0000-000039000000}"/>
    <cellStyle name="%.00" xfId="60" xr:uid="{00000000-0005-0000-0000-00003A000000}"/>
    <cellStyle name="%.1" xfId="61" xr:uid="{00000000-0005-0000-0000-00003B000000}"/>
    <cellStyle name="%.2" xfId="62" xr:uid="{00000000-0005-0000-0000-00003C000000}"/>
    <cellStyle name="%.3" xfId="63" xr:uid="{00000000-0005-0000-0000-00003D000000}"/>
    <cellStyle name="%_Contribution analysis" xfId="64" xr:uid="{00000000-0005-0000-0000-00003E000000}"/>
    <cellStyle name="%-_Contribution analysis" xfId="65" xr:uid="{00000000-0005-0000-0000-00003F000000}"/>
    <cellStyle name="%_DCF" xfId="66" xr:uid="{00000000-0005-0000-0000-000040000000}"/>
    <cellStyle name="%-_DCF" xfId="67" xr:uid="{00000000-0005-0000-0000-000041000000}"/>
    <cellStyle name="%_FS" xfId="68" xr:uid="{00000000-0005-0000-0000-000042000000}"/>
    <cellStyle name="%_GS Model" xfId="69" xr:uid="{00000000-0005-0000-0000-000043000000}"/>
    <cellStyle name="%_LBO - 5dny0912" xfId="70" xr:uid="{00000000-0005-0000-0000-000044000000}"/>
    <cellStyle name="%-_LBO - 5dny0912" xfId="71" xr:uid="{00000000-0005-0000-0000-000045000000}"/>
    <cellStyle name="%_Model output pages" xfId="72" xr:uid="{00000000-0005-0000-0000-000046000000}"/>
    <cellStyle name="%-_Model output pages" xfId="73" xr:uid="{00000000-0005-0000-0000-000047000000}"/>
    <cellStyle name="%_Project Horseshoe - Merger Model (May 2006) v.33 (DRAFT)" xfId="74" xr:uid="{00000000-0005-0000-0000-000048000000}"/>
    <cellStyle name="%-_Project Horseshoe - Merger Model (May 2006) v.33 (DRAFT)" xfId="75" xr:uid="{00000000-0005-0000-0000-000049000000}"/>
    <cellStyle name="%_Spider LBO" xfId="76" xr:uid="{00000000-0005-0000-0000-00004A000000}"/>
    <cellStyle name="%-_Spider LBO" xfId="77" xr:uid="{00000000-0005-0000-0000-00004B000000}"/>
    <cellStyle name="%_Valuation Template Summary (v.5)" xfId="78" xr:uid="{00000000-0005-0000-0000-00004C000000}"/>
    <cellStyle name="%-_Valuation Template Summary (v.5)" xfId="79" xr:uid="{00000000-0005-0000-0000-00004D000000}"/>
    <cellStyle name="%_WACC - 5dny0907" xfId="80" xr:uid="{00000000-0005-0000-0000-00004E000000}"/>
    <cellStyle name="%-_WACC - 5dny0907" xfId="81" xr:uid="{00000000-0005-0000-0000-00004F000000}"/>
    <cellStyle name="******************************************" xfId="83" xr:uid="{00000000-0005-0000-0000-000050000000}"/>
    <cellStyle name="*MILLS" xfId="84" xr:uid="{00000000-0005-0000-0000-000051000000}"/>
    <cellStyle name=";;;" xfId="85" xr:uid="{00000000-0005-0000-0000-000052000000}"/>
    <cellStyle name="??" xfId="86" xr:uid="{00000000-0005-0000-0000-000053000000}"/>
    <cellStyle name="?? [0.00]_??????cula" xfId="87" xr:uid="{00000000-0005-0000-0000-000054000000}"/>
    <cellStyle name="?? [0]_??" xfId="88" xr:uid="{00000000-0005-0000-0000-000055000000}"/>
    <cellStyle name="?????_VERA" xfId="89" xr:uid="{00000000-0005-0000-0000-000056000000}"/>
    <cellStyle name="???[0]_~ME0858" xfId="90" xr:uid="{00000000-0005-0000-0000-000057000000}"/>
    <cellStyle name="???_~ME0858" xfId="91" xr:uid="{00000000-0005-0000-0000-000058000000}"/>
    <cellStyle name="??_?.????" xfId="92" xr:uid="{00000000-0005-0000-0000-000059000000}"/>
    <cellStyle name="\" xfId="93" xr:uid="{00000000-0005-0000-0000-00005A000000}"/>
    <cellStyle name="\_BLS_Directories_v6" xfId="94" xr:uid="{00000000-0005-0000-0000-00005B000000}"/>
    <cellStyle name="\_bluebirdacdil13" xfId="95" xr:uid="{00000000-0005-0000-0000-00005C000000}"/>
    <cellStyle name="\_ecomps7w" xfId="96" xr:uid="{00000000-0005-0000-0000-00005D000000}"/>
    <cellStyle name="\_equitycomps8" xfId="97" xr:uid="{00000000-0005-0000-0000-00005E000000}"/>
    <cellStyle name="\_equitycomps9" xfId="98" xr:uid="{00000000-0005-0000-0000-00005F000000}"/>
    <cellStyle name="\_houston Isabel" xfId="99" xr:uid="{00000000-0005-0000-0000-000060000000}"/>
    <cellStyle name="\_hybrid2" xfId="100" xr:uid="{00000000-0005-0000-0000-000061000000}"/>
    <cellStyle name="\_ITXCcomps" xfId="101" xr:uid="{00000000-0005-0000-0000-000062000000}"/>
    <cellStyle name="\_newcomps16" xfId="102" xr:uid="{00000000-0005-0000-0000-000063000000}"/>
    <cellStyle name="\_ravenpitch3" xfId="103" xr:uid="{00000000-0005-0000-0000-000064000000}"/>
    <cellStyle name="\_ravenpitch32" xfId="104" xr:uid="{00000000-0005-0000-0000-000065000000}"/>
    <cellStyle name="]_EUARNEW5_EMF Reports - Shipments" xfId="105" xr:uid="{00000000-0005-0000-0000-000066000000}"/>
    <cellStyle name="]_Labour Efficiency" xfId="106" xr:uid="{00000000-0005-0000-0000-000067000000}"/>
    <cellStyle name="_$accounting" xfId="107" xr:uid="{00000000-0005-0000-0000-000068000000}"/>
    <cellStyle name="_$accounting_BCE Model 1-8-07" xfId="108" xr:uid="{00000000-0005-0000-0000-000069000000}"/>
    <cellStyle name="_$accounting_PNC_merger_plan_divestitures_05" xfId="109" xr:uid="{00000000-0005-0000-0000-00006A000000}"/>
    <cellStyle name="_$accounting_PNC_merger_plan_divestitures_05_BCE Model 1-8-07" xfId="110" xr:uid="{00000000-0005-0000-0000-00006B000000}"/>
    <cellStyle name="_%(SignOnly)" xfId="111" xr:uid="{00000000-0005-0000-0000-00006C000000}"/>
    <cellStyle name="_%(SignOnly)_01 model" xfId="112" xr:uid="{00000000-0005-0000-0000-00006D000000}"/>
    <cellStyle name="_%(SignOnly)_02 Potential Partner Ability to Pay Analysis2" xfId="113" xr:uid="{00000000-0005-0000-0000-00006E000000}"/>
    <cellStyle name="_%(SignOnly)_12 Merger Plans" xfId="114" xr:uid="{00000000-0005-0000-0000-00006F000000}"/>
    <cellStyle name="_%(SignOnly)_AVP - prev. 06 financials" xfId="115" xr:uid="{00000000-0005-0000-0000-000070000000}"/>
    <cellStyle name="_%(SignOnly)_AVP - prev. 06 financials_BCE Model 1-8-07" xfId="116" xr:uid="{00000000-0005-0000-0000-000071000000}"/>
    <cellStyle name="_%(SignOnly)_bank_csc_Q2_2001_c1" xfId="117" xr:uid="{00000000-0005-0000-0000-000072000000}"/>
    <cellStyle name="_%(SignOnly)_bank_csc_Q2_2001_c1_BCE Model 1-8-07" xfId="118" xr:uid="{00000000-0005-0000-0000-000073000000}"/>
    <cellStyle name="_%(SignOnly)_FigTech Merger Model_02" xfId="119" xr:uid="{00000000-0005-0000-0000-000074000000}"/>
    <cellStyle name="_%(SignOnly)_Football Field" xfId="120" xr:uid="{00000000-0005-0000-0000-000075000000}"/>
    <cellStyle name="_%(SignOnly)_Football Field_BCE Model 1-8-07" xfId="121" xr:uid="{00000000-0005-0000-0000-000076000000}"/>
    <cellStyle name="_%(SignOnly)_PNC_merger_plan_divestitures_05" xfId="122" xr:uid="{00000000-0005-0000-0000-000077000000}"/>
    <cellStyle name="_%(SignOnly)_Summary Valuation Analysis" xfId="123" xr:uid="{00000000-0005-0000-0000-000078000000}"/>
    <cellStyle name="_%(SignOnly)_Synergies" xfId="124" xr:uid="{00000000-0005-0000-0000-000079000000}"/>
    <cellStyle name="_%(SignSpaceOnly)" xfId="125" xr:uid="{00000000-0005-0000-0000-00007A000000}"/>
    <cellStyle name="_%(SignSpaceOnly)_01 model" xfId="126" xr:uid="{00000000-0005-0000-0000-00007B000000}"/>
    <cellStyle name="_%(SignSpaceOnly)_02 Potential Partner Ability to Pay Analysis2" xfId="127" xr:uid="{00000000-0005-0000-0000-00007C000000}"/>
    <cellStyle name="_%(SignSpaceOnly)_12 Merger Plans" xfId="128" xr:uid="{00000000-0005-0000-0000-00007D000000}"/>
    <cellStyle name="_%(SignSpaceOnly)_AVP - prev. 06 financials" xfId="129" xr:uid="{00000000-0005-0000-0000-00007E000000}"/>
    <cellStyle name="_%(SignSpaceOnly)_AVP - prev. 06 financials_BCE Model 1-8-07" xfId="130" xr:uid="{00000000-0005-0000-0000-00007F000000}"/>
    <cellStyle name="_%(SignSpaceOnly)_bank_csc_Q2_2001_c1" xfId="131" xr:uid="{00000000-0005-0000-0000-000080000000}"/>
    <cellStyle name="_%(SignSpaceOnly)_bank_csc_Q2_2001_c1_BCE Model 1-8-07" xfId="132" xr:uid="{00000000-0005-0000-0000-000081000000}"/>
    <cellStyle name="_%(SignSpaceOnly)_FigTech Merger Model_02" xfId="133" xr:uid="{00000000-0005-0000-0000-000082000000}"/>
    <cellStyle name="_%(SignSpaceOnly)_Football Field" xfId="134" xr:uid="{00000000-0005-0000-0000-000083000000}"/>
    <cellStyle name="_%(SignSpaceOnly)_Football Field_BCE Model 1-8-07" xfId="135" xr:uid="{00000000-0005-0000-0000-000084000000}"/>
    <cellStyle name="_%(SignSpaceOnly)_PNC_merger_plan_divestitures_05" xfId="136" xr:uid="{00000000-0005-0000-0000-000085000000}"/>
    <cellStyle name="_%(SignSpaceOnly)_Summary Valuation Analysis" xfId="137" xr:uid="{00000000-0005-0000-0000-000086000000}"/>
    <cellStyle name="_%(SignSpaceOnly)_Synergies" xfId="138" xr:uid="{00000000-0005-0000-0000-000087000000}"/>
    <cellStyle name="_051129 DCF Summary" xfId="139" xr:uid="{00000000-0005-0000-0000-000088000000}"/>
    <cellStyle name="_101306 CanWest Excel BAck up v14" xfId="140" xr:uid="{00000000-0005-0000-0000-000089000000}"/>
    <cellStyle name="_3.33.Data" xfId="141" xr:uid="{00000000-0005-0000-0000-00008A000000}"/>
    <cellStyle name="_3.40.NWC" xfId="142" xr:uid="{00000000-0005-0000-0000-00008B000000}"/>
    <cellStyle name="_3.49.WACC" xfId="143" xr:uid="{00000000-0005-0000-0000-00008C000000}"/>
    <cellStyle name="_accounting" xfId="144" xr:uid="{00000000-0005-0000-0000-00008D000000}"/>
    <cellStyle name="_accounting_BCE Model 1-8-07" xfId="145" xr:uid="{00000000-0005-0000-0000-00008E000000}"/>
    <cellStyle name="_accounting_monet_final_w_output" xfId="146" xr:uid="{00000000-0005-0000-0000-00008F000000}"/>
    <cellStyle name="_accounting_monet_final_w_output_BCE Model 1-8-07" xfId="147" xr:uid="{00000000-0005-0000-0000-000090000000}"/>
    <cellStyle name="_Altman Model_6.18.07_DRIVERS" xfId="148" xr:uid="{00000000-0005-0000-0000-000091000000}"/>
    <cellStyle name="_Barnet_LBO_05.18.05" xfId="149" xr:uid="{00000000-0005-0000-0000-000092000000}"/>
    <cellStyle name="_Barnet_LBO_05.18.05_Bison LBO Analysis_Sponsor_02.07.07" xfId="150" xr:uid="{00000000-0005-0000-0000-000093000000}"/>
    <cellStyle name="_Barnet_LBO_05.18.05_Bison LBO Analysis_Sponsor_02.07.07_1" xfId="151" xr:uid="{00000000-0005-0000-0000-000094000000}"/>
    <cellStyle name="_BCE Model 1-8-07" xfId="152" xr:uid="{00000000-0005-0000-0000-000095000000}"/>
    <cellStyle name="_BU Rollup" xfId="153" xr:uid="{00000000-0005-0000-0000-000096000000}"/>
    <cellStyle name="_BUY" xfId="154" xr:uid="{00000000-0005-0000-0000-000097000000}"/>
    <cellStyle name="_Check of Synergy DCFs 11-01-04_v5" xfId="155" xr:uid="{00000000-0005-0000-0000-000098000000}"/>
    <cellStyle name="_CKFR Model 11-30-06" xfId="156" xr:uid="{00000000-0005-0000-0000-000099000000}"/>
    <cellStyle name="_COMBO PAGESv.5" xfId="157" xr:uid="{00000000-0005-0000-0000-00009A000000}"/>
    <cellStyle name="_Comma" xfId="158" xr:uid="{00000000-0005-0000-0000-00009B000000}"/>
    <cellStyle name="_Comma[0]" xfId="159" xr:uid="{00000000-0005-0000-0000-00009C000000}"/>
    <cellStyle name="_Comma[0]_BCE Model 1-8-07" xfId="160" xr:uid="{00000000-0005-0000-0000-00009D000000}"/>
    <cellStyle name="_Comma_01 Fig Tech CSC 1Q03" xfId="161" xr:uid="{00000000-0005-0000-0000-00009E000000}"/>
    <cellStyle name="_Comma_01 Financial Model" xfId="162" xr:uid="{00000000-0005-0000-0000-00009F000000}"/>
    <cellStyle name="_Comma_01 Template without numbers sent out" xfId="163" xr:uid="{00000000-0005-0000-0000-0000A0000000}"/>
    <cellStyle name="_Comma_02 Potential Partner Ability to Pay Analysis2" xfId="164" xr:uid="{00000000-0005-0000-0000-0000A1000000}"/>
    <cellStyle name="_Comma_02 Quick Model_PQ Corporation" xfId="165" xr:uid="{00000000-0005-0000-0000-0000A2000000}"/>
    <cellStyle name="_Comma_101306 CanWest Excel BAck up v14" xfId="166" xr:uid="{00000000-0005-0000-0000-0000A3000000}"/>
    <cellStyle name="_Comma_12 Merger Plans" xfId="167" xr:uid="{00000000-0005-0000-0000-0000A4000000}"/>
    <cellStyle name="_Comma_20020403 Regional Data 04" xfId="168" xr:uid="{00000000-0005-0000-0000-0000A5000000}"/>
    <cellStyle name="_Comma_20020403 Regional Data 04 Final" xfId="169" xr:uid="{00000000-0005-0000-0000-0000A6000000}"/>
    <cellStyle name="_Comma_20020403 Template for Exchange - Regional Data 01" xfId="170" xr:uid="{00000000-0005-0000-0000-0000A7000000}"/>
    <cellStyle name="_Comma_20020404 Capex 02 All" xfId="171" xr:uid="{00000000-0005-0000-0000-0000A8000000}"/>
    <cellStyle name="_Comma_3.33.Data" xfId="172" xr:uid="{00000000-0005-0000-0000-0000A9000000}"/>
    <cellStyle name="_Comma_3.40.NWC" xfId="173" xr:uid="{00000000-0005-0000-0000-0000AA000000}"/>
    <cellStyle name="_Comma_accretion dilution analysis" xfId="174" xr:uid="{00000000-0005-0000-0000-0000AB000000}"/>
    <cellStyle name="_Comma_Accretion-(Dilution) Pearl" xfId="175" xr:uid="{00000000-0005-0000-0000-0000AC000000}"/>
    <cellStyle name="_Comma_Acquisition Ops 3" xfId="176" xr:uid="{00000000-0005-0000-0000-0000AD000000}"/>
    <cellStyle name="_Comma_AVP" xfId="177" xr:uid="{00000000-0005-0000-0000-0000AE000000}"/>
    <cellStyle name="_Comma_BCE Model 1-8-07" xfId="178" xr:uid="{00000000-0005-0000-0000-0000AF000000}"/>
    <cellStyle name="_Comma_Book1" xfId="179" xr:uid="{00000000-0005-0000-0000-0000B0000000}"/>
    <cellStyle name="_Comma_Book2" xfId="180" xr:uid="{00000000-0005-0000-0000-0000B1000000}"/>
    <cellStyle name="_Comma_buyer_analysis" xfId="181" xr:uid="{00000000-0005-0000-0000-0000B2000000}"/>
    <cellStyle name="_Comma_Check of Synergy DCFs 11-01-04_v5" xfId="182" xr:uid="{00000000-0005-0000-0000-0000B3000000}"/>
    <cellStyle name="_Comma_CKFR Model 11-30-06" xfId="183" xr:uid="{00000000-0005-0000-0000-0000B4000000}"/>
    <cellStyle name="_Comma_Comparative Balance Sheets" xfId="184" xr:uid="{00000000-0005-0000-0000-0000B5000000}"/>
    <cellStyle name="_Comma_Copy of Leveraged Buyouts &amp; LBO Analysis (Ch. 4 &amp; 5) 11.3.08 (Submitted 2)" xfId="185" xr:uid="{00000000-0005-0000-0000-0000B6000000}"/>
    <cellStyle name="_Comma_Copy of Leveraged Buyouts &amp; LBO Analysis v12.8.08" xfId="186" xr:uid="{00000000-0005-0000-0000-0000B7000000}"/>
    <cellStyle name="_Comma_CSC with WACC" xfId="187" xr:uid="{00000000-0005-0000-0000-0000B8000000}"/>
    <cellStyle name="_Comma_Dave Model Final v 1" xfId="188" xr:uid="{00000000-0005-0000-0000-0000B9000000}"/>
    <cellStyle name="_Comma_DCF Analysis" xfId="189" xr:uid="{00000000-0005-0000-0000-0000BA000000}"/>
    <cellStyle name="_Comma_DIS Go Private Analysis v23" xfId="190" xr:uid="{00000000-0005-0000-0000-0000BB000000}"/>
    <cellStyle name="_Comma_Eagle Ridge Cash Flow 01-10-02_GS" xfId="191" xr:uid="{00000000-0005-0000-0000-0000BC000000}"/>
    <cellStyle name="_Comma_Excel Inserts_v4" xfId="192" xr:uid="{00000000-0005-0000-0000-0000BD000000}"/>
    <cellStyle name="_Comma_Final Canadian Bank Comp (sent to IBD)FORM" xfId="193" xr:uid="{00000000-0005-0000-0000-0000BE000000}"/>
    <cellStyle name="_Comma_Football Field" xfId="194" xr:uid="{00000000-0005-0000-0000-0000BF000000}"/>
    <cellStyle name="_Comma_I" xfId="195" xr:uid="{00000000-0005-0000-0000-0000C0000000}"/>
    <cellStyle name="_Comma_IBES_EPS_Estimates" xfId="196" xr:uid="{00000000-0005-0000-0000-0000C1000000}"/>
    <cellStyle name="_Comma_Leveraged Buyouts &amp; LBO Analysis v12.8.08" xfId="197" xr:uid="{00000000-0005-0000-0000-0000C2000000}"/>
    <cellStyle name="_Comma_Master_Telecom_Equipment_CSCb" xfId="198" xr:uid="{00000000-0005-0000-0000-0000C3000000}"/>
    <cellStyle name="_Comma_Merger Model - Exec" xfId="199" xr:uid="{00000000-0005-0000-0000-0000C4000000}"/>
    <cellStyle name="_Comma_merger plans" xfId="200" xr:uid="{00000000-0005-0000-0000-0000C5000000}"/>
    <cellStyle name="_Comma_MotLion Projections may" xfId="201" xr:uid="{00000000-0005-0000-0000-0000C6000000}"/>
    <cellStyle name="_Comma_Old Intro" xfId="202" xr:uid="{00000000-0005-0000-0000-0000C7000000}"/>
    <cellStyle name="_Comma_Old Life CSC" xfId="203" xr:uid="{00000000-0005-0000-0000-0000C8000000}"/>
    <cellStyle name="_Comma_pace_merger plans" xfId="204" xr:uid="{00000000-0005-0000-0000-0000C9000000}"/>
    <cellStyle name="_Comma_Palm Model 10_05" xfId="205" xr:uid="{00000000-0005-0000-0000-0000CA000000}"/>
    <cellStyle name="_Comma_PNC_PF_2Q_update" xfId="206" xr:uid="{00000000-0005-0000-0000-0000CB000000}"/>
    <cellStyle name="_Comma_Potential Strategic Partners" xfId="207" xr:uid="{00000000-0005-0000-0000-0000CC000000}"/>
    <cellStyle name="_Comma_QVC LBO Model 2-12-03 v3" xfId="208" xr:uid="{00000000-0005-0000-0000-0000CD000000}"/>
    <cellStyle name="_Comma_RJB Long LBO LTM" xfId="209" xr:uid="{00000000-0005-0000-0000-0000CE000000}"/>
    <cellStyle name="_Comma_Summary Valuation Analysis" xfId="210" xr:uid="{00000000-0005-0000-0000-0000CF000000}"/>
    <cellStyle name="_Comma_Synergies" xfId="211" xr:uid="{00000000-0005-0000-0000-0000D0000000}"/>
    <cellStyle name="_Comma_Troon Financials 8-1-02" xfId="212" xr:uid="{00000000-0005-0000-0000-0000D1000000}"/>
    <cellStyle name="_Comma_Troon_EBITDA" xfId="213" xr:uid="{00000000-0005-0000-0000-0000D2000000}"/>
    <cellStyle name="_Comma_Valuation Overview - June 2001" xfId="214" xr:uid="{00000000-0005-0000-0000-0000D3000000}"/>
    <cellStyle name="_Comma_Valuation_Troon dpak 8-5-02 v3" xfId="215" xr:uid="{00000000-0005-0000-0000-0000D4000000}"/>
    <cellStyle name="_Copy of Comparable Companies (Ch. 1) v11.3.08 (Submitted 2)" xfId="216" xr:uid="{00000000-0005-0000-0000-0000D5000000}"/>
    <cellStyle name="_Copy of Leveraged Buyouts &amp; LBO Analysis (Ch. 4 &amp; 5) 11.3.08 (Submitted 2)" xfId="217" xr:uid="{00000000-0005-0000-0000-0000D6000000}"/>
    <cellStyle name="_Copy of Leveraged Buyouts &amp; LBO Analysis v12.8.08" xfId="218" xr:uid="{00000000-0005-0000-0000-0000D7000000}"/>
    <cellStyle name="_Copy of Precedent Transactions (Ch. 2) 11.3.08 (Submitted 2)" xfId="219" xr:uid="{00000000-0005-0000-0000-0000D8000000}"/>
    <cellStyle name="_Currency" xfId="220" xr:uid="{00000000-0005-0000-0000-0000D9000000}"/>
    <cellStyle name="_Currency(GBP)" xfId="221" xr:uid="{00000000-0005-0000-0000-0000DA000000}"/>
    <cellStyle name="_Currency(GBP)_BCE Model 1-8-07" xfId="222" xr:uid="{00000000-0005-0000-0000-0000DB000000}"/>
    <cellStyle name="_Currency_01 Fig Tech CSC 1Q03" xfId="223" xr:uid="{00000000-0005-0000-0000-0000DC000000}"/>
    <cellStyle name="_Currency_01 Financial Model" xfId="224" xr:uid="{00000000-0005-0000-0000-0000DD000000}"/>
    <cellStyle name="_Currency_01 Template without numbers sent out" xfId="225" xr:uid="{00000000-0005-0000-0000-0000DE000000}"/>
    <cellStyle name="_Currency_02 Financials" xfId="226" xr:uid="{00000000-0005-0000-0000-0000DF000000}"/>
    <cellStyle name="_Currency_02 Financials_BCE Model 1-8-07" xfId="227" xr:uid="{00000000-0005-0000-0000-0000E0000000}"/>
    <cellStyle name="_Currency_02 Potential Partner Ability to Pay Analysis2" xfId="228" xr:uid="{00000000-0005-0000-0000-0000E1000000}"/>
    <cellStyle name="_Currency_02 Quick Model_PQ Corporation" xfId="229" xr:uid="{00000000-0005-0000-0000-0000E2000000}"/>
    <cellStyle name="_Currency_04 Financials" xfId="230" xr:uid="{00000000-0005-0000-0000-0000E3000000}"/>
    <cellStyle name="_Currency_04 Financials_BCE Model 1-8-07" xfId="231" xr:uid="{00000000-0005-0000-0000-0000E4000000}"/>
    <cellStyle name="_Currency_101306 CanWest Excel BAck up v14" xfId="232" xr:uid="{00000000-0005-0000-0000-0000E5000000}"/>
    <cellStyle name="_Currency_101306 CanWest Excel BAck up v14_BCE LBO Analysis (02_4_07) MASTER V6" xfId="233" xr:uid="{00000000-0005-0000-0000-0000E6000000}"/>
    <cellStyle name="_Currency_101306 CanWest Excel BAck up v14_Bison LBO Analysis_Sponsors_03.06.07_to Citi" xfId="234" xr:uid="{00000000-0005-0000-0000-0000E7000000}"/>
    <cellStyle name="_Currency_101306 CanWest Excel BAck up v14_Bison LBO Analysis_Sponsors_TO CITI FOR FORMAT (2)" xfId="235" xr:uid="{00000000-0005-0000-0000-0000E8000000}"/>
    <cellStyle name="_Currency_101306 CanWest Excel BAck up v14_Bison LBO Analysis_Sponsors_TO CITI FOR FORMAT (2)_1" xfId="236" xr:uid="{00000000-0005-0000-0000-0000E9000000}"/>
    <cellStyle name="_Currency_12 Merger Plans" xfId="237" xr:uid="{00000000-0005-0000-0000-0000EA000000}"/>
    <cellStyle name="_Currency_20020403 Regional Data 04" xfId="238" xr:uid="{00000000-0005-0000-0000-0000EB000000}"/>
    <cellStyle name="_Currency_20020403 Regional Data 04 Final" xfId="239" xr:uid="{00000000-0005-0000-0000-0000EC000000}"/>
    <cellStyle name="_Currency_20020403 Template for Exchange - Regional Data 01" xfId="240" xr:uid="{00000000-0005-0000-0000-0000ED000000}"/>
    <cellStyle name="_Currency_20020404 Capex 02 All" xfId="241" xr:uid="{00000000-0005-0000-0000-0000EE000000}"/>
    <cellStyle name="_Currency_3.33.Data" xfId="242" xr:uid="{00000000-0005-0000-0000-0000EF000000}"/>
    <cellStyle name="_Currency_3.40.NWC" xfId="243" xr:uid="{00000000-0005-0000-0000-0000F0000000}"/>
    <cellStyle name="_Currency_accretion dilution analysis" xfId="244" xr:uid="{00000000-0005-0000-0000-0000F1000000}"/>
    <cellStyle name="_Currency_Accretion-(Dilution) Pearl" xfId="245" xr:uid="{00000000-0005-0000-0000-0000F2000000}"/>
    <cellStyle name="_Currency_Acquisition Ops 3" xfId="246" xr:uid="{00000000-0005-0000-0000-0000F3000000}"/>
    <cellStyle name="_Currency_Alamosa Merger" xfId="247" xr:uid="{00000000-0005-0000-0000-0000F4000000}"/>
    <cellStyle name="_Currency_Alamosa Standalone6" xfId="248" xr:uid="{00000000-0005-0000-0000-0000F5000000}"/>
    <cellStyle name="_Currency_Alamosa Standalone8b" xfId="249" xr:uid="{00000000-0005-0000-0000-0000F6000000}"/>
    <cellStyle name="_Currency_AVP" xfId="250" xr:uid="{00000000-0005-0000-0000-0000F7000000}"/>
    <cellStyle name="_Currency_AVP - prev. 06 financials" xfId="251" xr:uid="{00000000-0005-0000-0000-0000F8000000}"/>
    <cellStyle name="_Currency_AVP - prev. 06 financials_BCE Model 1-8-07" xfId="252" xr:uid="{00000000-0005-0000-0000-0000F9000000}"/>
    <cellStyle name="_Currency_avp_Palm Model 10_05" xfId="253" xr:uid="{00000000-0005-0000-0000-0000FA000000}"/>
    <cellStyle name="_Currency_bank_csc_Q2_2001_c1" xfId="254" xr:uid="{00000000-0005-0000-0000-0000FB000000}"/>
    <cellStyle name="_Currency_BCE Model 1-8-07" xfId="255" xr:uid="{00000000-0005-0000-0000-0000FC000000}"/>
    <cellStyle name="_Currency_Book1" xfId="256" xr:uid="{00000000-0005-0000-0000-0000FD000000}"/>
    <cellStyle name="_Currency_Book2" xfId="257" xr:uid="{00000000-0005-0000-0000-0000FE000000}"/>
    <cellStyle name="_Currency_Buyer List" xfId="258" xr:uid="{00000000-0005-0000-0000-0000FF000000}"/>
    <cellStyle name="_Currency_Buyer List_BCE Model 1-8-07" xfId="259" xr:uid="{00000000-0005-0000-0000-000000010000}"/>
    <cellStyle name="_Currency_buyer_analysis" xfId="260" xr:uid="{00000000-0005-0000-0000-000001010000}"/>
    <cellStyle name="_Currency_Check of Synergy DCFs 11-01-04_v5" xfId="261" xr:uid="{00000000-0005-0000-0000-000002010000}"/>
    <cellStyle name="_Currency_CKFR Model 11-30-06" xfId="262" xr:uid="{00000000-0005-0000-0000-000003010000}"/>
    <cellStyle name="_Currency_com_ic_universe_6" xfId="263" xr:uid="{00000000-0005-0000-0000-000004010000}"/>
    <cellStyle name="_Currency_Combo RW 125" xfId="264" xr:uid="{00000000-0005-0000-0000-000005010000}"/>
    <cellStyle name="_Currency_Comparative Balance Sheets" xfId="265" xr:uid="{00000000-0005-0000-0000-000006010000}"/>
    <cellStyle name="_Currency_Copy of Leveraged Buyouts &amp; LBO Analysis (Ch. 4 &amp; 5) 11.3.08 (Submitted 2)" xfId="266" xr:uid="{00000000-0005-0000-0000-000007010000}"/>
    <cellStyle name="_Currency_Copy of Leveraged Buyouts &amp; LBO Analysis v12.8.08" xfId="267" xr:uid="{00000000-0005-0000-0000-000008010000}"/>
    <cellStyle name="_Currency_CSC Update_Status of Companies_11_19" xfId="268" xr:uid="{00000000-0005-0000-0000-000009010000}"/>
    <cellStyle name="_Currency_CSC with WACC" xfId="269" xr:uid="{00000000-0005-0000-0000-00000A010000}"/>
    <cellStyle name="_Currency_CSC_Palm_Sum_of_Parts_4_20_01" xfId="270" xr:uid="{00000000-0005-0000-0000-00000B010000}"/>
    <cellStyle name="_Currency_CSC_Palm_Sum_of_Parts_4_20_01_BCE Model 1-8-07" xfId="271" xr:uid="{00000000-0005-0000-0000-00000C010000}"/>
    <cellStyle name="_Currency_CSC_Palm_Sum_of_Parts_5_23_01a" xfId="272" xr:uid="{00000000-0005-0000-0000-00000D010000}"/>
    <cellStyle name="_Currency_CSC_Palm_Sum_of_Parts_5_23_01a_BCE Model 1-8-07" xfId="273" xr:uid="{00000000-0005-0000-0000-00000E010000}"/>
    <cellStyle name="_Currency_Dave Model Final v 1" xfId="274" xr:uid="{00000000-0005-0000-0000-00000F010000}"/>
    <cellStyle name="_Currency_DCF Analysis" xfId="275" xr:uid="{00000000-0005-0000-0000-000010010000}"/>
    <cellStyle name="_Currency_DIS Go Private Analysis v23" xfId="276" xr:uid="{00000000-0005-0000-0000-000011010000}"/>
    <cellStyle name="_Currency_Eagle Ridge Cash Flow 01-10-02_GS" xfId="277" xr:uid="{00000000-0005-0000-0000-000012010000}"/>
    <cellStyle name="_Currency_Eutelsat and Capex Analysis" xfId="278" xr:uid="{00000000-0005-0000-0000-000013010000}"/>
    <cellStyle name="_Currency_Excel Inserts_v4" xfId="279" xr:uid="{00000000-0005-0000-0000-000014010000}"/>
    <cellStyle name="_Currency_Final Canadian Bank Comp (sent to IBD)FORM" xfId="280" xr:uid="{00000000-0005-0000-0000-000015010000}"/>
    <cellStyle name="_Currency_Football Field" xfId="281" xr:uid="{00000000-0005-0000-0000-000016010000}"/>
    <cellStyle name="_Currency_GQ" xfId="282" xr:uid="{00000000-0005-0000-0000-000017010000}"/>
    <cellStyle name="_Currency_GS Model" xfId="283" xr:uid="{00000000-0005-0000-0000-000018010000}"/>
    <cellStyle name="_Currency_I" xfId="284" xr:uid="{00000000-0005-0000-0000-000019010000}"/>
    <cellStyle name="_Currency_IBES_EPS_Estimates" xfId="285" xr:uid="{00000000-0005-0000-0000-00001A010000}"/>
    <cellStyle name="_Currency_Leveraged Buyouts &amp; LBO Analysis v12.8.08" xfId="286" xr:uid="{00000000-0005-0000-0000-00001B010000}"/>
    <cellStyle name="_Currency_Master_Telecom_Equipment_CSCb" xfId="287" xr:uid="{00000000-0005-0000-0000-00001C010000}"/>
    <cellStyle name="_Currency_Merger Model - Exec" xfId="288" xr:uid="{00000000-0005-0000-0000-00001D010000}"/>
    <cellStyle name="_Currency_merger plans" xfId="289" xr:uid="{00000000-0005-0000-0000-00001E010000}"/>
    <cellStyle name="_Currency_monet2.4_temp" xfId="290" xr:uid="{00000000-0005-0000-0000-00001F010000}"/>
    <cellStyle name="_Currency_monet2.8" xfId="291" xr:uid="{00000000-0005-0000-0000-000020010000}"/>
    <cellStyle name="_Currency_MotLion Projections may" xfId="292" xr:uid="{00000000-0005-0000-0000-000021010000}"/>
    <cellStyle name="_Currency_Old Intro" xfId="293" xr:uid="{00000000-0005-0000-0000-000022010000}"/>
    <cellStyle name="_Currency_Old Life CSC" xfId="294" xr:uid="{00000000-0005-0000-0000-000023010000}"/>
    <cellStyle name="_Currency_pace_merger plans" xfId="295" xr:uid="{00000000-0005-0000-0000-000024010000}"/>
    <cellStyle name="_Currency_Palm Model 10_05" xfId="296" xr:uid="{00000000-0005-0000-0000-000025010000}"/>
    <cellStyle name="_Currency_pdf file" xfId="297" xr:uid="{00000000-0005-0000-0000-000026010000}"/>
    <cellStyle name="_Currency_PNC_PF_2Q_update" xfId="298" xr:uid="{00000000-0005-0000-0000-000027010000}"/>
    <cellStyle name="_Currency_Potential Strategic Partners" xfId="299" xr:uid="{00000000-0005-0000-0000-000028010000}"/>
    <cellStyle name="_Currency_QVC LBO Model 2-12-03 v3" xfId="300" xr:uid="{00000000-0005-0000-0000-000029010000}"/>
    <cellStyle name="_Currency_RJB Long LBO LTM" xfId="301" xr:uid="{00000000-0005-0000-0000-00002A010000}"/>
    <cellStyle name="_Currency_Roberts Standalone14 Quarterly 2" xfId="302" xr:uid="{00000000-0005-0000-0000-00002B010000}"/>
    <cellStyle name="_Currency_Sheet1" xfId="303" xr:uid="{00000000-0005-0000-0000-00002C010000}"/>
    <cellStyle name="_Currency_Sheet1_BCE LBO Analysis (02_4_07) MASTER V6" xfId="304" xr:uid="{00000000-0005-0000-0000-00002D010000}"/>
    <cellStyle name="_Currency_Sheet1_BCE Model 1-8-07" xfId="305" xr:uid="{00000000-0005-0000-0000-00002E010000}"/>
    <cellStyle name="_Currency_Sheet1_Bison LBO Analysis_Sponsors_03.06.07_to Citi" xfId="306" xr:uid="{00000000-0005-0000-0000-00002F010000}"/>
    <cellStyle name="_Currency_Sheet1_Bison LBO Analysis_Sponsors_TO CITI FOR FORMAT (2)" xfId="307" xr:uid="{00000000-0005-0000-0000-000030010000}"/>
    <cellStyle name="_Currency_Sheet1_Bison LBO Analysis_Sponsors_TO CITI FOR FORMAT (2)_1" xfId="308" xr:uid="{00000000-0005-0000-0000-000031010000}"/>
    <cellStyle name="_Currency_Summary Sheets2" xfId="309" xr:uid="{00000000-0005-0000-0000-000032010000}"/>
    <cellStyle name="_Currency_Summary Valuation Analysis" xfId="310" xr:uid="{00000000-0005-0000-0000-000033010000}"/>
    <cellStyle name="_Currency_Synergies" xfId="311" xr:uid="{00000000-0005-0000-0000-000034010000}"/>
    <cellStyle name="_Currency_Troon Financials 8-1-02" xfId="312" xr:uid="{00000000-0005-0000-0000-000035010000}"/>
    <cellStyle name="_Currency_Troon_EBITDA" xfId="313" xr:uid="{00000000-0005-0000-0000-000036010000}"/>
    <cellStyle name="_Currency_Valuation Overview - June 2001" xfId="314" xr:uid="{00000000-0005-0000-0000-000037010000}"/>
    <cellStyle name="_Currency_Valuation_Troon dpak 8-5-02 v3" xfId="315" xr:uid="{00000000-0005-0000-0000-000038010000}"/>
    <cellStyle name="_Currency_VIA_Evans NOL Analysis" xfId="316" xr:uid="{00000000-0005-0000-0000-000039010000}"/>
    <cellStyle name="_Currency_WOW Standalone Quarterly 2" xfId="317" xr:uid="{00000000-0005-0000-0000-00003A010000}"/>
    <cellStyle name="_Currency_xratio - historical mkt val" xfId="318" xr:uid="{00000000-0005-0000-0000-00003B010000}"/>
    <cellStyle name="_CurrencySpace" xfId="319" xr:uid="{00000000-0005-0000-0000-00003C010000}"/>
    <cellStyle name="_CurrencySpace_01 Fig Tech CSC 1Q03" xfId="320" xr:uid="{00000000-0005-0000-0000-00003D010000}"/>
    <cellStyle name="_CurrencySpace_01 Financial Model" xfId="321" xr:uid="{00000000-0005-0000-0000-00003E010000}"/>
    <cellStyle name="_CurrencySpace_01 Template without numbers sent out" xfId="322" xr:uid="{00000000-0005-0000-0000-00003F010000}"/>
    <cellStyle name="_CurrencySpace_02 Financials" xfId="323" xr:uid="{00000000-0005-0000-0000-000040010000}"/>
    <cellStyle name="_CurrencySpace_02 Financials_BCE Model 1-8-07" xfId="324" xr:uid="{00000000-0005-0000-0000-000041010000}"/>
    <cellStyle name="_CurrencySpace_02 Potential Partner Ability to Pay Analysis2" xfId="325" xr:uid="{00000000-0005-0000-0000-000042010000}"/>
    <cellStyle name="_CurrencySpace_02 Quick Model_PQ Corporation" xfId="326" xr:uid="{00000000-0005-0000-0000-000043010000}"/>
    <cellStyle name="_CurrencySpace_04 Financials" xfId="327" xr:uid="{00000000-0005-0000-0000-000044010000}"/>
    <cellStyle name="_CurrencySpace_04 Financials_BCE Model 1-8-07" xfId="328" xr:uid="{00000000-0005-0000-0000-000045010000}"/>
    <cellStyle name="_CurrencySpace_101306 CanWest Excel BAck up v14" xfId="329" xr:uid="{00000000-0005-0000-0000-000046010000}"/>
    <cellStyle name="_CurrencySpace_12 Merger Plans" xfId="330" xr:uid="{00000000-0005-0000-0000-000047010000}"/>
    <cellStyle name="_CurrencySpace_20020326Viper Numbers sent out" xfId="331" xr:uid="{00000000-0005-0000-0000-000048010000}"/>
    <cellStyle name="_CurrencySpace_20020403 Regional Data 04" xfId="332" xr:uid="{00000000-0005-0000-0000-000049010000}"/>
    <cellStyle name="_CurrencySpace_20020403 Regional Data 04 Final" xfId="333" xr:uid="{00000000-0005-0000-0000-00004A010000}"/>
    <cellStyle name="_CurrencySpace_20020403 Template for Exchange - Regional Data 01" xfId="334" xr:uid="{00000000-0005-0000-0000-00004B010000}"/>
    <cellStyle name="_CurrencySpace_20020404 Capex 02 All" xfId="335" xr:uid="{00000000-0005-0000-0000-00004C010000}"/>
    <cellStyle name="_CurrencySpace_20020405 Final Company Model" xfId="336" xr:uid="{00000000-0005-0000-0000-00004D010000}"/>
    <cellStyle name="_CurrencySpace_3.33.Data" xfId="337" xr:uid="{00000000-0005-0000-0000-00004E010000}"/>
    <cellStyle name="_CurrencySpace_3.40.NWC" xfId="338" xr:uid="{00000000-0005-0000-0000-00004F010000}"/>
    <cellStyle name="_CurrencySpace_accretion dilution analysis" xfId="339" xr:uid="{00000000-0005-0000-0000-000050010000}"/>
    <cellStyle name="_CurrencySpace_Accretion-(Dilution) Pearl" xfId="340" xr:uid="{00000000-0005-0000-0000-000051010000}"/>
    <cellStyle name="_CurrencySpace_Acquisition Ops 3" xfId="341" xr:uid="{00000000-0005-0000-0000-000052010000}"/>
    <cellStyle name="_CurrencySpace_April 2002 combined model - key factors only" xfId="342" xr:uid="{00000000-0005-0000-0000-000053010000}"/>
    <cellStyle name="_CurrencySpace_April 2002 combined model - key factors only (rec 5 apr)" xfId="343" xr:uid="{00000000-0005-0000-0000-000054010000}"/>
    <cellStyle name="_CurrencySpace_AVP" xfId="344" xr:uid="{00000000-0005-0000-0000-000055010000}"/>
    <cellStyle name="_CurrencySpace_avp_Palm Model 10_05" xfId="345" xr:uid="{00000000-0005-0000-0000-000056010000}"/>
    <cellStyle name="_CurrencySpace_BCE Model 1-8-07" xfId="346" xr:uid="{00000000-0005-0000-0000-000057010000}"/>
    <cellStyle name="_CurrencySpace_Book1" xfId="347" xr:uid="{00000000-0005-0000-0000-000058010000}"/>
    <cellStyle name="_CurrencySpace_Book1_Merger Plan 2-10-04 GSIBDv3" xfId="348" xr:uid="{00000000-0005-0000-0000-000059010000}"/>
    <cellStyle name="_CurrencySpace_Book2" xfId="349" xr:uid="{00000000-0005-0000-0000-00005A010000}"/>
    <cellStyle name="_CurrencySpace_buyer_analysis" xfId="350" xr:uid="{00000000-0005-0000-0000-00005B010000}"/>
    <cellStyle name="_CurrencySpace_Check of Synergy DCFs 11-01-04_v5" xfId="351" xr:uid="{00000000-0005-0000-0000-00005C010000}"/>
    <cellStyle name="_CurrencySpace_CKFR Model 11-30-06" xfId="352" xr:uid="{00000000-0005-0000-0000-00005D010000}"/>
    <cellStyle name="_CurrencySpace_com_ic_universe_6" xfId="353" xr:uid="{00000000-0005-0000-0000-00005E010000}"/>
    <cellStyle name="_CurrencySpace_Comparative Balance Sheets" xfId="354" xr:uid="{00000000-0005-0000-0000-00005F010000}"/>
    <cellStyle name="_CurrencySpace_Copy of Leveraged Buyouts &amp; LBO Analysis (Ch. 4 &amp; 5) 11.3.08 (Submitted 2)" xfId="355" xr:uid="{00000000-0005-0000-0000-000060010000}"/>
    <cellStyle name="_CurrencySpace_Copy of Leveraged Buyouts &amp; LBO Analysis v12.8.08" xfId="356" xr:uid="{00000000-0005-0000-0000-000061010000}"/>
    <cellStyle name="_CurrencySpace_CSC Update_Status of Companies_11_19" xfId="357" xr:uid="{00000000-0005-0000-0000-000062010000}"/>
    <cellStyle name="_CurrencySpace_CSC with WACC" xfId="358" xr:uid="{00000000-0005-0000-0000-000063010000}"/>
    <cellStyle name="_CurrencySpace_CSC_Palm_Sum_of_Parts_4_20_01" xfId="359" xr:uid="{00000000-0005-0000-0000-000064010000}"/>
    <cellStyle name="_CurrencySpace_CSC_Palm_Sum_of_Parts_5_23_01a" xfId="360" xr:uid="{00000000-0005-0000-0000-000065010000}"/>
    <cellStyle name="_CurrencySpace_Dave Model Final v 1" xfId="361" xr:uid="{00000000-0005-0000-0000-000066010000}"/>
    <cellStyle name="_CurrencySpace_DCF Analysis" xfId="362" xr:uid="{00000000-0005-0000-0000-000067010000}"/>
    <cellStyle name="_CurrencySpace_DIS Go Private Analysis v23" xfId="363" xr:uid="{00000000-0005-0000-0000-000068010000}"/>
    <cellStyle name="_CurrencySpace_Eagle Ridge Cash Flow 01-10-02_GS" xfId="364" xr:uid="{00000000-0005-0000-0000-000069010000}"/>
    <cellStyle name="_CurrencySpace_Excel Inserts_v4" xfId="365" xr:uid="{00000000-0005-0000-0000-00006A010000}"/>
    <cellStyle name="_CurrencySpace_Final Canadian Bank Comp (sent to IBD)FORM" xfId="366" xr:uid="{00000000-0005-0000-0000-00006B010000}"/>
    <cellStyle name="_CurrencySpace_Football Field" xfId="367" xr:uid="{00000000-0005-0000-0000-00006C010000}"/>
    <cellStyle name="_CurrencySpace_I" xfId="368" xr:uid="{00000000-0005-0000-0000-00006D010000}"/>
    <cellStyle name="_CurrencySpace_IBES_EPS_Estimates" xfId="369" xr:uid="{00000000-0005-0000-0000-00006E010000}"/>
    <cellStyle name="_CurrencySpace_Leveraged Buyouts &amp; LBO Analysis v12.8.08" xfId="370" xr:uid="{00000000-0005-0000-0000-00006F010000}"/>
    <cellStyle name="_CurrencySpace_Master_Telecom_Equipment_CSCb" xfId="371" xr:uid="{00000000-0005-0000-0000-000070010000}"/>
    <cellStyle name="_CurrencySpace_Merger Model - Exec" xfId="372" xr:uid="{00000000-0005-0000-0000-000071010000}"/>
    <cellStyle name="_CurrencySpace_merger plans" xfId="373" xr:uid="{00000000-0005-0000-0000-000072010000}"/>
    <cellStyle name="_CurrencySpace_monet2.4" xfId="374" xr:uid="{00000000-0005-0000-0000-000073010000}"/>
    <cellStyle name="_CurrencySpace_monet2.4_temp" xfId="375" xr:uid="{00000000-0005-0000-0000-000074010000}"/>
    <cellStyle name="_CurrencySpace_monet2.8" xfId="376" xr:uid="{00000000-0005-0000-0000-000075010000}"/>
    <cellStyle name="_CurrencySpace_MotLion Projections may" xfId="377" xr:uid="{00000000-0005-0000-0000-000076010000}"/>
    <cellStyle name="_CurrencySpace_Old Intro" xfId="378" xr:uid="{00000000-0005-0000-0000-000077010000}"/>
    <cellStyle name="_CurrencySpace_Old Life CSC" xfId="379" xr:uid="{00000000-0005-0000-0000-000078010000}"/>
    <cellStyle name="_CurrencySpace_pace_merger plans" xfId="380" xr:uid="{00000000-0005-0000-0000-000079010000}"/>
    <cellStyle name="_CurrencySpace_Palm Model 10_05" xfId="381" xr:uid="{00000000-0005-0000-0000-00007A010000}"/>
    <cellStyle name="_CurrencySpace_pdf file" xfId="382" xr:uid="{00000000-0005-0000-0000-00007B010000}"/>
    <cellStyle name="_CurrencySpace_PNC_PF_2Q_update" xfId="383" xr:uid="{00000000-0005-0000-0000-00007C010000}"/>
    <cellStyle name="_CurrencySpace_Potential Strategic Partners" xfId="384" xr:uid="{00000000-0005-0000-0000-00007D010000}"/>
    <cellStyle name="_CurrencySpace_QVC LBO Model 2-12-03 v3" xfId="385" xr:uid="{00000000-0005-0000-0000-00007E010000}"/>
    <cellStyle name="_CurrencySpace_RJB Long LBO LTM" xfId="386" xr:uid="{00000000-0005-0000-0000-00007F010000}"/>
    <cellStyle name="_CurrencySpace_Stallion Analysis_a" xfId="387" xr:uid="{00000000-0005-0000-0000-000080010000}"/>
    <cellStyle name="_CurrencySpace_Summary Valuation Analysis" xfId="388" xr:uid="{00000000-0005-0000-0000-000081010000}"/>
    <cellStyle name="_CurrencySpace_Synergies" xfId="389" xr:uid="{00000000-0005-0000-0000-000082010000}"/>
    <cellStyle name="_CurrencySpace_Troon Financials 8-1-02" xfId="390" xr:uid="{00000000-0005-0000-0000-000083010000}"/>
    <cellStyle name="_CurrencySpace_Troon_EBITDA" xfId="391" xr:uid="{00000000-0005-0000-0000-000084010000}"/>
    <cellStyle name="_CurrencySpace_Valuation Overview - June 2001" xfId="392" xr:uid="{00000000-0005-0000-0000-000085010000}"/>
    <cellStyle name="_CurrencySpace_Valuation_Troon dpak 8-5-02 v3" xfId="393" xr:uid="{00000000-0005-0000-0000-000086010000}"/>
    <cellStyle name="_date" xfId="394" xr:uid="{00000000-0005-0000-0000-000087010000}"/>
    <cellStyle name="_Dave Model Final v 1" xfId="395" xr:uid="{00000000-0005-0000-0000-000088010000}"/>
    <cellStyle name="_DIS Go Private Analysis v23" xfId="396" xr:uid="{00000000-0005-0000-0000-000089010000}"/>
    <cellStyle name="_Dollar" xfId="397" xr:uid="{00000000-0005-0000-0000-00008A010000}"/>
    <cellStyle name="_Euro" xfId="398" xr:uid="{00000000-0005-0000-0000-00008B010000}"/>
    <cellStyle name="_Euro_accretion dilution analysis" xfId="399" xr:uid="{00000000-0005-0000-0000-00008C010000}"/>
    <cellStyle name="_Euro_CSC_Palm_Sum_of_Parts_5_23_01a" xfId="400" xr:uid="{00000000-0005-0000-0000-00008D010000}"/>
    <cellStyle name="_Euro_Financials Layout dpak 9-26-01 v1" xfId="401" xr:uid="{00000000-0005-0000-0000-00008E010000}"/>
    <cellStyle name="_Euro_IBES_EPS_Estimates" xfId="402" xr:uid="{00000000-0005-0000-0000-00008F010000}"/>
    <cellStyle name="_Euro_Palm Model 10_05" xfId="403" xr:uid="{00000000-0005-0000-0000-000090010000}"/>
    <cellStyle name="_Euro_Potential Strategic Partners" xfId="404" xr:uid="{00000000-0005-0000-0000-000091010000}"/>
    <cellStyle name="_Euro_Simple Merger Plans" xfId="405" xr:uid="{00000000-0005-0000-0000-000092010000}"/>
    <cellStyle name="_Excel Inserts_v4" xfId="406" xr:uid="{00000000-0005-0000-0000-000093010000}"/>
    <cellStyle name="_GBP" xfId="407" xr:uid="{00000000-0005-0000-0000-000094010000}"/>
    <cellStyle name="_GBP_BCE Model 1-8-07" xfId="408" xr:uid="{00000000-0005-0000-0000-000095010000}"/>
    <cellStyle name="_GBP_BCE Model 1-8-07_Bison LBO Analysis_Sponsor_02.07.07" xfId="409" xr:uid="{00000000-0005-0000-0000-000096010000}"/>
    <cellStyle name="_GS Equity Research Driver Comparison" xfId="410" xr:uid="{00000000-0005-0000-0000-000097010000}"/>
    <cellStyle name="_GS Model" xfId="411" xr:uid="{00000000-0005-0000-0000-000098010000}"/>
    <cellStyle name="_GS Model of VSTR" xfId="412" xr:uid="{00000000-0005-0000-0000-000099010000}"/>
    <cellStyle name="_Heading" xfId="413" xr:uid="{00000000-0005-0000-0000-00009A010000}"/>
    <cellStyle name="_Heading_01 Selected Financials_Salt Business" xfId="414" xr:uid="{00000000-0005-0000-0000-00009B010000}"/>
    <cellStyle name="_Heading_02 Quick Model_PQ Corporation" xfId="415" xr:uid="{00000000-0005-0000-0000-00009C010000}"/>
    <cellStyle name="_Heading_06 Analysis at Various Prices" xfId="416" xr:uid="{00000000-0005-0000-0000-00009D010000}"/>
    <cellStyle name="_Heading_Dave Model Final v 1" xfId="417" xr:uid="{00000000-0005-0000-0000-00009E010000}"/>
    <cellStyle name="_Heading_Final Canadian Bank Comp (sent to IBD)FORM" xfId="418" xr:uid="{00000000-0005-0000-0000-00009F010000}"/>
    <cellStyle name="_Heading_lbo_long_model" xfId="419" xr:uid="{00000000-0005-0000-0000-0000A0010000}"/>
    <cellStyle name="_Heading_MAXF historical financials" xfId="420" xr:uid="{00000000-0005-0000-0000-0000A1010000}"/>
    <cellStyle name="_Heading_PL Consolidated (2003)" xfId="421" xr:uid="{00000000-0005-0000-0000-0000A2010000}"/>
    <cellStyle name="_Heading_prestemp" xfId="422" xr:uid="{00000000-0005-0000-0000-0000A3010000}"/>
    <cellStyle name="_Heading_Summary Financials 04" xfId="423" xr:uid="{00000000-0005-0000-0000-0000A4010000}"/>
    <cellStyle name="_Headline" xfId="424" xr:uid="{00000000-0005-0000-0000-0000A5010000}"/>
    <cellStyle name="_Highlight" xfId="425" xr:uid="{00000000-0005-0000-0000-0000A6010000}"/>
    <cellStyle name="_Highlight_accretion dilution analysis" xfId="426" xr:uid="{00000000-0005-0000-0000-0000A7010000}"/>
    <cellStyle name="_Highlight_Advance Summary 04" xfId="427" xr:uid="{00000000-0005-0000-0000-0000A8010000}"/>
    <cellStyle name="_Highlight_Assumptions" xfId="428" xr:uid="{00000000-0005-0000-0000-0000A9010000}"/>
    <cellStyle name="_Highlight_CSC_Palm_Sum_of_Parts_5_23_01a" xfId="429" xr:uid="{00000000-0005-0000-0000-0000AA010000}"/>
    <cellStyle name="_Highlight_Data Dailies Strategic Plan-CT" xfId="430" xr:uid="{00000000-0005-0000-0000-0000AB010000}"/>
    <cellStyle name="_Highlight_Dave Model Final v 1" xfId="431" xr:uid="{00000000-0005-0000-0000-0000AC010000}"/>
    <cellStyle name="_Highlight_Expenses_V6" xfId="432" xr:uid="{00000000-0005-0000-0000-0000AD010000}"/>
    <cellStyle name="_Highlight_Final-Consolidated-Dave-10" xfId="433" xr:uid="{00000000-0005-0000-0000-0000AE010000}"/>
    <cellStyle name="_Highlight_Financials Layout dpak 9-26-01 v1" xfId="434" xr:uid="{00000000-0005-0000-0000-0000AF010000}"/>
    <cellStyle name="_Highlight_GS Long Form Model3 7-23-02 TROON v34" xfId="435" xr:uid="{00000000-0005-0000-0000-0000B0010000}"/>
    <cellStyle name="_Highlight_Historical Financials" xfId="436" xr:uid="{00000000-0005-0000-0000-0000B1010000}"/>
    <cellStyle name="_Highlight_IBES_EPS_Estimates" xfId="437" xr:uid="{00000000-0005-0000-0000-0000B2010000}"/>
    <cellStyle name="_Highlight_Lease Expiration Model" xfId="438" xr:uid="{00000000-0005-0000-0000-0000B3010000}"/>
    <cellStyle name="_Highlight_ModelDrivers1" xfId="439" xr:uid="{00000000-0005-0000-0000-0000B4010000}"/>
    <cellStyle name="_Highlight_Original Masters2002 Base Case Model 2-12-03 v1" xfId="440" xr:uid="{00000000-0005-0000-0000-0000B5010000}"/>
    <cellStyle name="_Highlight_Palm Model 10_05" xfId="441" xr:uid="{00000000-0005-0000-0000-0000B6010000}"/>
    <cellStyle name="_Highlight_PFOwnership" xfId="442" xr:uid="{00000000-0005-0000-0000-0000B7010000}"/>
    <cellStyle name="_Highlight_Potential Strategic Partners" xfId="443" xr:uid="{00000000-0005-0000-0000-0000B8010000}"/>
    <cellStyle name="_Highlight_Prospective Asset Sales v42" xfId="444" xr:uid="{00000000-0005-0000-0000-0000B9010000}"/>
    <cellStyle name="_Highlight_Simple Merger Plans" xfId="445" xr:uid="{00000000-0005-0000-0000-0000BA010000}"/>
    <cellStyle name="_Highlight_Sony TR" xfId="446" xr:uid="{00000000-0005-0000-0000-0000BB010000}"/>
    <cellStyle name="_Highlight_Troon DCF Model 8-13-02 v1" xfId="447" xr:uid="{00000000-0005-0000-0000-0000BC010000}"/>
    <cellStyle name="_Highlight_Updated LIBOR Curve from Marius Jungerhans 8-16-02" xfId="448" xr:uid="{00000000-0005-0000-0000-0000BD010000}"/>
    <cellStyle name="_I" xfId="449" xr:uid="{00000000-0005-0000-0000-0000BE010000}"/>
    <cellStyle name="_Inputs" xfId="450" xr:uid="{00000000-0005-0000-0000-0000BF010000}"/>
    <cellStyle name="_Leveraged Buyouts &amp; LBO Analysis v12.8.08" xfId="451" xr:uid="{00000000-0005-0000-0000-0000C0010000}"/>
    <cellStyle name="_Luxury Goods Comps latest" xfId="452" xr:uid="{00000000-0005-0000-0000-0000C1010000}"/>
    <cellStyle name="_Merger Plan 2-10-04 GSIBDv3" xfId="453" xr:uid="{00000000-0005-0000-0000-0000C2010000}"/>
    <cellStyle name="_Month" xfId="454" xr:uid="{00000000-0005-0000-0000-0000C3010000}"/>
    <cellStyle name="_Month_BCE Model 1-8-07" xfId="455" xr:uid="{00000000-0005-0000-0000-0000C4010000}"/>
    <cellStyle name="_MS BCE Model" xfId="456" xr:uid="{00000000-0005-0000-0000-0000C5010000}"/>
    <cellStyle name="_Multiple" xfId="457" xr:uid="{00000000-0005-0000-0000-0000C6010000}"/>
    <cellStyle name="_Multiple_01 Fig Tech CSC 1Q03" xfId="458" xr:uid="{00000000-0005-0000-0000-0000C7010000}"/>
    <cellStyle name="_Multiple_01 Financial Model" xfId="459" xr:uid="{00000000-0005-0000-0000-0000C8010000}"/>
    <cellStyle name="_Multiple_01 Selected Financials_Salt Business" xfId="460" xr:uid="{00000000-0005-0000-0000-0000C9010000}"/>
    <cellStyle name="_Multiple_01 Template without numbers sent out" xfId="461" xr:uid="{00000000-0005-0000-0000-0000CA010000}"/>
    <cellStyle name="_Multiple_02 Potential Partner Ability to Pay Analysis2" xfId="462" xr:uid="{00000000-0005-0000-0000-0000CB010000}"/>
    <cellStyle name="_Multiple_02 Quick Model_PQ Corporation" xfId="463" xr:uid="{00000000-0005-0000-0000-0000CC010000}"/>
    <cellStyle name="_Multiple_06 Analysis at Various Prices" xfId="464" xr:uid="{00000000-0005-0000-0000-0000CD010000}"/>
    <cellStyle name="_Multiple_101306 CanWest Excel BAck up v14" xfId="465" xr:uid="{00000000-0005-0000-0000-0000CE010000}"/>
    <cellStyle name="_Multiple_12 Merger Plans" xfId="466" xr:uid="{00000000-0005-0000-0000-0000CF010000}"/>
    <cellStyle name="_Multiple_20020403 Regional Data 04" xfId="467" xr:uid="{00000000-0005-0000-0000-0000D0010000}"/>
    <cellStyle name="_Multiple_20020403 Regional Data 04 Final" xfId="468" xr:uid="{00000000-0005-0000-0000-0000D1010000}"/>
    <cellStyle name="_Multiple_20020403 Template for Exchange - Regional Data 01" xfId="469" xr:uid="{00000000-0005-0000-0000-0000D2010000}"/>
    <cellStyle name="_Multiple_20020404 Capex 02 All" xfId="470" xr:uid="{00000000-0005-0000-0000-0000D3010000}"/>
    <cellStyle name="_Multiple_3.33.Data" xfId="471" xr:uid="{00000000-0005-0000-0000-0000D4010000}"/>
    <cellStyle name="_Multiple_3.40.NWC" xfId="472" xr:uid="{00000000-0005-0000-0000-0000D5010000}"/>
    <cellStyle name="_Multiple_accretion dilution analysis" xfId="473" xr:uid="{00000000-0005-0000-0000-0000D6010000}"/>
    <cellStyle name="_Multiple_Accretion-(Dilution) Pearl" xfId="474" xr:uid="{00000000-0005-0000-0000-0000D7010000}"/>
    <cellStyle name="_Multiple_Acquisition Ops 3" xfId="475" xr:uid="{00000000-0005-0000-0000-0000D8010000}"/>
    <cellStyle name="_Multiple_Appliances Metrics for Leverage Finance" xfId="476" xr:uid="{00000000-0005-0000-0000-0000D9010000}"/>
    <cellStyle name="_Multiple_Asset_Management_CSC_Updated_06_26_2002" xfId="477" xr:uid="{00000000-0005-0000-0000-0000DA010000}"/>
    <cellStyle name="_Multiple_Asset_Management_CSC_Updated_06_26_2002_BCE Model 1-8-07" xfId="478" xr:uid="{00000000-0005-0000-0000-0000DB010000}"/>
    <cellStyle name="_Multiple_AVP" xfId="479" xr:uid="{00000000-0005-0000-0000-0000DC010000}"/>
    <cellStyle name="_Multiple_AVP - prev. 06 financials" xfId="480" xr:uid="{00000000-0005-0000-0000-0000DD010000}"/>
    <cellStyle name="_Multiple_AVP - prev. 06 financials_BCE Model 1-8-07" xfId="481" xr:uid="{00000000-0005-0000-0000-0000DE010000}"/>
    <cellStyle name="_Multiple_AVP_BCE Model 1-8-07" xfId="482" xr:uid="{00000000-0005-0000-0000-0000DF010000}"/>
    <cellStyle name="_Multiple_avp_Merger Plan 2-10-04 GSIBDv3" xfId="483" xr:uid="{00000000-0005-0000-0000-0000E0010000}"/>
    <cellStyle name="_Multiple_avp_Palm Model 10_05" xfId="484" xr:uid="{00000000-0005-0000-0000-0000E1010000}"/>
    <cellStyle name="_Multiple_Bank &amp; Thrift Buyer Merger Plan(AutoPrice2000)" xfId="485" xr:uid="{00000000-0005-0000-0000-0000E2010000}"/>
    <cellStyle name="_Multiple_bank_csc_Q1_2001" xfId="486" xr:uid="{00000000-0005-0000-0000-0000E3010000}"/>
    <cellStyle name="_Multiple_bank_csc_Q1_2001_BCE Model 1-8-07" xfId="487" xr:uid="{00000000-0005-0000-0000-0000E4010000}"/>
    <cellStyle name="_Multiple_bank_csc_Q2_2001" xfId="488" xr:uid="{00000000-0005-0000-0000-0000E5010000}"/>
    <cellStyle name="_Multiple_bank_csc_Q2_2001_c1" xfId="489" xr:uid="{00000000-0005-0000-0000-0000E6010000}"/>
    <cellStyle name="_Multiple_BCE Model 1-8-07" xfId="490" xr:uid="{00000000-0005-0000-0000-0000E7010000}"/>
    <cellStyle name="_Multiple_Book1" xfId="491" xr:uid="{00000000-0005-0000-0000-0000E8010000}"/>
    <cellStyle name="_Multiple_Book1_1" xfId="492" xr:uid="{00000000-0005-0000-0000-0000E9010000}"/>
    <cellStyle name="_Multiple_Book1_Merger Plan 2-10-04 GSIBDv3" xfId="493" xr:uid="{00000000-0005-0000-0000-0000EA010000}"/>
    <cellStyle name="_Multiple_Book1_Merger Plan 2-10-04 GSIBDv3_BCE Model 1-8-07" xfId="494" xr:uid="{00000000-0005-0000-0000-0000EB010000}"/>
    <cellStyle name="_Multiple_Book2" xfId="495" xr:uid="{00000000-0005-0000-0000-0000EC010000}"/>
    <cellStyle name="_Multiple_Borders Model 11-11-03 mezz v6" xfId="496" xr:uid="{00000000-0005-0000-0000-0000ED010000}"/>
    <cellStyle name="_Multiple_buyer_analysis" xfId="497" xr:uid="{00000000-0005-0000-0000-0000EE010000}"/>
    <cellStyle name="_Multiple_Check of Synergy DCFs 11-01-04_v5" xfId="498" xr:uid="{00000000-0005-0000-0000-0000EF010000}"/>
    <cellStyle name="_Multiple_CKFR Model 11-30-06" xfId="499" xr:uid="{00000000-0005-0000-0000-0000F0010000}"/>
    <cellStyle name="_Multiple_CKFR Model 11-30-06_BCE Model 1-8-07" xfId="500" xr:uid="{00000000-0005-0000-0000-0000F1010000}"/>
    <cellStyle name="_Multiple_com_ic_universe_6" xfId="501" xr:uid="{00000000-0005-0000-0000-0000F2010000}"/>
    <cellStyle name="_Multiple_Comparative Balance Sheets" xfId="502" xr:uid="{00000000-0005-0000-0000-0000F3010000}"/>
    <cellStyle name="_Multiple_Comparative Balance Sheets_BCE Model 1-8-07" xfId="503" xr:uid="{00000000-0005-0000-0000-0000F4010000}"/>
    <cellStyle name="_Multiple_Copy of Leveraged Buyouts &amp; LBO Analysis (Ch. 4 &amp; 5) 11.3.08 (Submitted 2)" xfId="504" xr:uid="{00000000-0005-0000-0000-0000F5010000}"/>
    <cellStyle name="_Multiple_Copy of Leveraged Buyouts &amp; LBO Analysis v12.8.08" xfId="505" xr:uid="{00000000-0005-0000-0000-0000F6010000}"/>
    <cellStyle name="_Multiple_Cross Dock Projections v3" xfId="506" xr:uid="{00000000-0005-0000-0000-0000F7010000}"/>
    <cellStyle name="_Multiple_csc" xfId="507" xr:uid="{00000000-0005-0000-0000-0000F8010000}"/>
    <cellStyle name="_Multiple_CSC Update_Status of Companies_11_19" xfId="508" xr:uid="{00000000-0005-0000-0000-0000F9010000}"/>
    <cellStyle name="_Multiple_CSC with WACC" xfId="509" xr:uid="{00000000-0005-0000-0000-0000FA010000}"/>
    <cellStyle name="_Multiple_csc_BCE Model 1-8-07" xfId="510" xr:uid="{00000000-0005-0000-0000-0000FB010000}"/>
    <cellStyle name="_Multiple_CSC_Palm_Sum_of_Parts_4_20_01" xfId="511" xr:uid="{00000000-0005-0000-0000-0000FC010000}"/>
    <cellStyle name="_Multiple_CSC_Palm_Sum_of_Parts_5_23_01a" xfId="512" xr:uid="{00000000-0005-0000-0000-0000FD010000}"/>
    <cellStyle name="_Multiple_Dave Model Final v 1" xfId="513" xr:uid="{00000000-0005-0000-0000-0000FE010000}"/>
    <cellStyle name="_Multiple_DCF Analysis" xfId="514" xr:uid="{00000000-0005-0000-0000-0000FF010000}"/>
    <cellStyle name="_Multiple_DIS Go Private Analysis v23" xfId="515" xr:uid="{00000000-0005-0000-0000-000000020000}"/>
    <cellStyle name="_Multiple_discussion" xfId="516" xr:uid="{00000000-0005-0000-0000-000001020000}"/>
    <cellStyle name="_Multiple_Eagle Ridge Cash Flow 01-10-02_GS" xfId="517" xr:uid="{00000000-0005-0000-0000-000002020000}"/>
    <cellStyle name="_Multiple_Eutelsat and Capex Analysis" xfId="518" xr:uid="{00000000-0005-0000-0000-000003020000}"/>
    <cellStyle name="_Multiple_Excel Inserts_v4" xfId="519" xr:uid="{00000000-0005-0000-0000-000004020000}"/>
    <cellStyle name="_Multiple_Final Canadian Bank Comp (sent to IBD)FORM" xfId="520" xr:uid="{00000000-0005-0000-0000-000005020000}"/>
    <cellStyle name="_Multiple_Financial Buildup 6-18-03 v7" xfId="521" xr:uid="{00000000-0005-0000-0000-000006020000}"/>
    <cellStyle name="_Multiple_Financials" xfId="522" xr:uid="{00000000-0005-0000-0000-000007020000}"/>
    <cellStyle name="_Multiple_Financials_3" xfId="523" xr:uid="{00000000-0005-0000-0000-000008020000}"/>
    <cellStyle name="_Multiple_Football Field" xfId="524" xr:uid="{00000000-0005-0000-0000-000009020000}"/>
    <cellStyle name="_Multiple_GS Model" xfId="525" xr:uid="{00000000-0005-0000-0000-00000A020000}"/>
    <cellStyle name="_Multiple_I" xfId="526" xr:uid="{00000000-0005-0000-0000-00000B020000}"/>
    <cellStyle name="_Multiple_IBES_EPS_Estimates" xfId="527" xr:uid="{00000000-0005-0000-0000-00000C020000}"/>
    <cellStyle name="_Multiple_Leveraged Buyouts &amp; LBO Analysis v12.8.08" xfId="528" xr:uid="{00000000-0005-0000-0000-00000D020000}"/>
    <cellStyle name="_Multiple_march_21_meeting" xfId="529" xr:uid="{00000000-0005-0000-0000-00000E020000}"/>
    <cellStyle name="_Multiple_Master_Telecom_Equipment_CSCb" xfId="530" xr:uid="{00000000-0005-0000-0000-00000F020000}"/>
    <cellStyle name="_Multiple_Merger Model - Exec" xfId="531" xr:uid="{00000000-0005-0000-0000-000010020000}"/>
    <cellStyle name="_Multiple_Merger model_new" xfId="532" xr:uid="{00000000-0005-0000-0000-000011020000}"/>
    <cellStyle name="_Multiple_Merger model_new_ability to pay" xfId="533" xr:uid="{00000000-0005-0000-0000-000012020000}"/>
    <cellStyle name="_Multiple_Merger Plan 2-10-04 GSIBDv3" xfId="534" xr:uid="{00000000-0005-0000-0000-000013020000}"/>
    <cellStyle name="_Multiple_merger plans" xfId="535" xr:uid="{00000000-0005-0000-0000-000014020000}"/>
    <cellStyle name="_Multiple_model_bk" xfId="536" xr:uid="{00000000-0005-0000-0000-000015020000}"/>
    <cellStyle name="_Multiple_model_bk_BCE Model 1-8-07" xfId="537" xr:uid="{00000000-0005-0000-0000-000016020000}"/>
    <cellStyle name="_Multiple_monet_final_w_output" xfId="538" xr:uid="{00000000-0005-0000-0000-000017020000}"/>
    <cellStyle name="_Multiple_monet2.4" xfId="539" xr:uid="{00000000-0005-0000-0000-000018020000}"/>
    <cellStyle name="_Multiple_monet2.4_BCE Model 1-8-07" xfId="540" xr:uid="{00000000-0005-0000-0000-000019020000}"/>
    <cellStyle name="_Multiple_monet2.4_temp" xfId="541" xr:uid="{00000000-0005-0000-0000-00001A020000}"/>
    <cellStyle name="_Multiple_monet2.4_temp_BCE Model 1-8-07" xfId="542" xr:uid="{00000000-0005-0000-0000-00001B020000}"/>
    <cellStyle name="_Multiple_monet2.8" xfId="543" xr:uid="{00000000-0005-0000-0000-00001C020000}"/>
    <cellStyle name="_Multiple_monet2.8_BCE Model 1-8-07" xfId="544" xr:uid="{00000000-0005-0000-0000-00001D020000}"/>
    <cellStyle name="_Multiple_MotLion Projections may" xfId="545" xr:uid="{00000000-0005-0000-0000-00001E020000}"/>
    <cellStyle name="_Multiple_Neptune Ammortization Analysis 8-6-03" xfId="546" xr:uid="{00000000-0005-0000-0000-00001F020000}"/>
    <cellStyle name="_Multiple_Old Intro" xfId="547" xr:uid="{00000000-0005-0000-0000-000020020000}"/>
    <cellStyle name="_Multiple_Old Life CSC" xfId="548" xr:uid="{00000000-0005-0000-0000-000021020000}"/>
    <cellStyle name="_Multiple_Other Category Breaidown 7-26-03 v1" xfId="549" xr:uid="{00000000-0005-0000-0000-000022020000}"/>
    <cellStyle name="_Multiple_pace_merger plans" xfId="550" xr:uid="{00000000-0005-0000-0000-000023020000}"/>
    <cellStyle name="_Multiple_Palm Model 10_05" xfId="551" xr:uid="{00000000-0005-0000-0000-000024020000}"/>
    <cellStyle name="_Multiple_pdf file" xfId="552" xr:uid="{00000000-0005-0000-0000-000025020000}"/>
    <cellStyle name="_Multiple_PNC_PF_2Q_update" xfId="553" xr:uid="{00000000-0005-0000-0000-000026020000}"/>
    <cellStyle name="_Multiple_Potential Strategic Partners" xfId="554" xr:uid="{00000000-0005-0000-0000-000027020000}"/>
    <cellStyle name="_Multiple_Projections--Management (Data Room)v6" xfId="555" xr:uid="{00000000-0005-0000-0000-000028020000}"/>
    <cellStyle name="_Multiple_QVC LBO Model 2-12-03 v3" xfId="556" xr:uid="{00000000-0005-0000-0000-000029020000}"/>
    <cellStyle name="_Multiple_RJB Long LBO LTM" xfId="557" xr:uid="{00000000-0005-0000-0000-00002A020000}"/>
    <cellStyle name="_Multiple_Sources and Uses FINAL dpakedit v2" xfId="558" xr:uid="{00000000-0005-0000-0000-00002B020000}"/>
    <cellStyle name="_Multiple_Summary Valuation Analysis" xfId="559" xr:uid="{00000000-0005-0000-0000-00002C020000}"/>
    <cellStyle name="_Multiple_Synergies" xfId="560" xr:uid="{00000000-0005-0000-0000-00002D020000}"/>
    <cellStyle name="_Multiple_Troon DCF Model 8-13-02 v1" xfId="561" xr:uid="{00000000-0005-0000-0000-00002E020000}"/>
    <cellStyle name="_Multiple_Troon DCF Model 8-13-02 v1_BCE Model 1-8-07" xfId="562" xr:uid="{00000000-0005-0000-0000-00002F020000}"/>
    <cellStyle name="_Multiple_Troon Financials 8-1-02" xfId="563" xr:uid="{00000000-0005-0000-0000-000030020000}"/>
    <cellStyle name="_Multiple_Troon LLC FS dpakedit 8-7-02" xfId="564" xr:uid="{00000000-0005-0000-0000-000031020000}"/>
    <cellStyle name="_Multiple_Troon LLC FS dpakedit 8-7-02 v3" xfId="565" xr:uid="{00000000-0005-0000-0000-000032020000}"/>
    <cellStyle name="_Multiple_Troon LLC FS dpakedit 8-7-02 v4" xfId="566" xr:uid="{00000000-0005-0000-0000-000033020000}"/>
    <cellStyle name="_Multiple_Troon_EBITDA" xfId="567" xr:uid="{00000000-0005-0000-0000-000034020000}"/>
    <cellStyle name="_Multiple_Valuation Overview - June 2001" xfId="568" xr:uid="{00000000-0005-0000-0000-000035020000}"/>
    <cellStyle name="_Multiple_Valuation Overview - June 2001_BCE Model 1-8-07" xfId="569" xr:uid="{00000000-0005-0000-0000-000036020000}"/>
    <cellStyle name="_Multiple_Valuation_Troon dpak 8-5-02 v3" xfId="570" xr:uid="{00000000-0005-0000-0000-000037020000}"/>
    <cellStyle name="_MultipleSpace" xfId="571" xr:uid="{00000000-0005-0000-0000-000038020000}"/>
    <cellStyle name="_MultipleSpace_01 Fig Tech CSC 1Q03" xfId="572" xr:uid="{00000000-0005-0000-0000-000039020000}"/>
    <cellStyle name="_MultipleSpace_01 Financial Model" xfId="573" xr:uid="{00000000-0005-0000-0000-00003A020000}"/>
    <cellStyle name="_MultipleSpace_01 Template without numbers sent out" xfId="574" xr:uid="{00000000-0005-0000-0000-00003B020000}"/>
    <cellStyle name="_MultipleSpace_02 Potential Partner Ability to Pay Analysis2" xfId="575" xr:uid="{00000000-0005-0000-0000-00003C020000}"/>
    <cellStyle name="_MultipleSpace_02 Quick Model_PQ Corporation" xfId="576" xr:uid="{00000000-0005-0000-0000-00003D020000}"/>
    <cellStyle name="_MultipleSpace_101306 CanWest Excel BAck up v14" xfId="577" xr:uid="{00000000-0005-0000-0000-00003E020000}"/>
    <cellStyle name="_MultipleSpace_12 Merger Plans" xfId="578" xr:uid="{00000000-0005-0000-0000-00003F020000}"/>
    <cellStyle name="_MultipleSpace_20020403 Regional Data 04" xfId="579" xr:uid="{00000000-0005-0000-0000-000040020000}"/>
    <cellStyle name="_MultipleSpace_20020403 Regional Data 04 Final" xfId="580" xr:uid="{00000000-0005-0000-0000-000041020000}"/>
    <cellStyle name="_MultipleSpace_20020403 Template for Exchange - Regional Data 01" xfId="581" xr:uid="{00000000-0005-0000-0000-000042020000}"/>
    <cellStyle name="_MultipleSpace_20020404 Capex 02 All" xfId="582" xr:uid="{00000000-0005-0000-0000-000043020000}"/>
    <cellStyle name="_MultipleSpace_3.33.Data" xfId="583" xr:uid="{00000000-0005-0000-0000-000044020000}"/>
    <cellStyle name="_MultipleSpace_3.40.NWC" xfId="584" xr:uid="{00000000-0005-0000-0000-000045020000}"/>
    <cellStyle name="_MultipleSpace_accretion dilution analysis" xfId="585" xr:uid="{00000000-0005-0000-0000-000046020000}"/>
    <cellStyle name="_MultipleSpace_Accretion-(Dilution) Pearl" xfId="586" xr:uid="{00000000-0005-0000-0000-000047020000}"/>
    <cellStyle name="_MultipleSpace_Acquisition Ops 3" xfId="587" xr:uid="{00000000-0005-0000-0000-000048020000}"/>
    <cellStyle name="_MultipleSpace_Alamosa Merger" xfId="588" xr:uid="{00000000-0005-0000-0000-000049020000}"/>
    <cellStyle name="_MultipleSpace_Alamosa Standalone8b" xfId="589" xr:uid="{00000000-0005-0000-0000-00004A020000}"/>
    <cellStyle name="_MultipleSpace_AVP" xfId="590" xr:uid="{00000000-0005-0000-0000-00004B020000}"/>
    <cellStyle name="_MultipleSpace_AVP - prev. 06 financials" xfId="591" xr:uid="{00000000-0005-0000-0000-00004C020000}"/>
    <cellStyle name="_MultipleSpace_AVP - prev. 06 financials_BCE Model 1-8-07" xfId="592" xr:uid="{00000000-0005-0000-0000-00004D020000}"/>
    <cellStyle name="_MultipleSpace_AVP_BCE Model 1-8-07" xfId="593" xr:uid="{00000000-0005-0000-0000-00004E020000}"/>
    <cellStyle name="_MultipleSpace_avp_Merger Plan 2-10-04 GSIBDv3" xfId="594" xr:uid="{00000000-0005-0000-0000-00004F020000}"/>
    <cellStyle name="_MultipleSpace_avp_Palm Model 10_05" xfId="595" xr:uid="{00000000-0005-0000-0000-000050020000}"/>
    <cellStyle name="_MultipleSpace_bank_csc_Q1_2001" xfId="596" xr:uid="{00000000-0005-0000-0000-000051020000}"/>
    <cellStyle name="_MultipleSpace_bank_csc_Q1_2001_BCE Model 1-8-07" xfId="597" xr:uid="{00000000-0005-0000-0000-000052020000}"/>
    <cellStyle name="_MultipleSpace_bank_csc_Q2_2001_c1" xfId="598" xr:uid="{00000000-0005-0000-0000-000053020000}"/>
    <cellStyle name="_MultipleSpace_bank_csc_Q2_2001_c1_BCE Model 1-8-07" xfId="599" xr:uid="{00000000-0005-0000-0000-000054020000}"/>
    <cellStyle name="_MultipleSpace_BCE Model 1-8-07" xfId="600" xr:uid="{00000000-0005-0000-0000-000055020000}"/>
    <cellStyle name="_MultipleSpace_Book1" xfId="601" xr:uid="{00000000-0005-0000-0000-000056020000}"/>
    <cellStyle name="_MultipleSpace_Book1_Merger Plan 2-10-04 GSIBDv3" xfId="602" xr:uid="{00000000-0005-0000-0000-000057020000}"/>
    <cellStyle name="_MultipleSpace_Book1_Merger Plan 2-10-04 GSIBDv3_BCE Model 1-8-07" xfId="603" xr:uid="{00000000-0005-0000-0000-000058020000}"/>
    <cellStyle name="_MultipleSpace_Book2" xfId="604" xr:uid="{00000000-0005-0000-0000-000059020000}"/>
    <cellStyle name="_MultipleSpace_buyer_analysis" xfId="605" xr:uid="{00000000-0005-0000-0000-00005A020000}"/>
    <cellStyle name="_MultipleSpace_Check of Synergy DCFs 11-01-04_v5" xfId="606" xr:uid="{00000000-0005-0000-0000-00005B020000}"/>
    <cellStyle name="_MultipleSpace_CKFR Model 11-30-06" xfId="607" xr:uid="{00000000-0005-0000-0000-00005C020000}"/>
    <cellStyle name="_MultipleSpace_com_ic_universe_6" xfId="608" xr:uid="{00000000-0005-0000-0000-00005D020000}"/>
    <cellStyle name="_MultipleSpace_COMBO Final DCF_2" xfId="609" xr:uid="{00000000-0005-0000-0000-00005E020000}"/>
    <cellStyle name="_MultipleSpace_Comparative Balance Sheets" xfId="610" xr:uid="{00000000-0005-0000-0000-00005F020000}"/>
    <cellStyle name="_MultipleSpace_Comparative Balance Sheets_BCE Model 1-8-07" xfId="611" xr:uid="{00000000-0005-0000-0000-000060020000}"/>
    <cellStyle name="_MultipleSpace_Copy of Leveraged Buyouts &amp; LBO Analysis (Ch. 4 &amp; 5) 11.3.08 (Submitted 2)" xfId="612" xr:uid="{00000000-0005-0000-0000-000061020000}"/>
    <cellStyle name="_MultipleSpace_Copy of Leveraged Buyouts &amp; LBO Analysis v12.8.08" xfId="613" xr:uid="{00000000-0005-0000-0000-000062020000}"/>
    <cellStyle name="_MultipleSpace_csc" xfId="614" xr:uid="{00000000-0005-0000-0000-000063020000}"/>
    <cellStyle name="_MultipleSpace_CSC Update_Status of Companies_11_19" xfId="615" xr:uid="{00000000-0005-0000-0000-000064020000}"/>
    <cellStyle name="_MultipleSpace_CSC with WACC" xfId="616" xr:uid="{00000000-0005-0000-0000-000065020000}"/>
    <cellStyle name="_MultipleSpace_csc_BCE Model 1-8-07" xfId="617" xr:uid="{00000000-0005-0000-0000-000066020000}"/>
    <cellStyle name="_MultipleSpace_CSC_Palm_Sum_of_Parts_4_20_01" xfId="618" xr:uid="{00000000-0005-0000-0000-000067020000}"/>
    <cellStyle name="_MultipleSpace_CSC_Palm_Sum_of_Parts_5_23_01a" xfId="619" xr:uid="{00000000-0005-0000-0000-000068020000}"/>
    <cellStyle name="_MultipleSpace_Dave Model Final v 1" xfId="620" xr:uid="{00000000-0005-0000-0000-000069020000}"/>
    <cellStyle name="_MultipleSpace_DCF Analysis" xfId="621" xr:uid="{00000000-0005-0000-0000-00006A020000}"/>
    <cellStyle name="_MultipleSpace_DIS Go Private Analysis v23" xfId="622" xr:uid="{00000000-0005-0000-0000-00006B020000}"/>
    <cellStyle name="_MultipleSpace_Eagle Ridge Cash Flow 01-10-02_GS" xfId="623" xr:uid="{00000000-0005-0000-0000-00006C020000}"/>
    <cellStyle name="_MultipleSpace_Eutelsat and Capex Analysis" xfId="624" xr:uid="{00000000-0005-0000-0000-00006D020000}"/>
    <cellStyle name="_MultipleSpace_Excel Inserts_v4" xfId="625" xr:uid="{00000000-0005-0000-0000-00006E020000}"/>
    <cellStyle name="_MultipleSpace_Final Canadian Bank Comp (sent to IBD)FORM" xfId="626" xr:uid="{00000000-0005-0000-0000-00006F020000}"/>
    <cellStyle name="_MultipleSpace_Football Field" xfId="627" xr:uid="{00000000-0005-0000-0000-000070020000}"/>
    <cellStyle name="_MultipleSpace_I" xfId="628" xr:uid="{00000000-0005-0000-0000-000071020000}"/>
    <cellStyle name="_MultipleSpace_IBES_EPS_Estimates" xfId="629" xr:uid="{00000000-0005-0000-0000-000072020000}"/>
    <cellStyle name="_MultipleSpace_Leveraged Buyouts &amp; LBO Analysis v12.8.08" xfId="630" xr:uid="{00000000-0005-0000-0000-000073020000}"/>
    <cellStyle name="_MultipleSpace_Master_Telecom_Equipment_CSCb" xfId="631" xr:uid="{00000000-0005-0000-0000-000074020000}"/>
    <cellStyle name="_MultipleSpace_Merger Model - Exec" xfId="632" xr:uid="{00000000-0005-0000-0000-000075020000}"/>
    <cellStyle name="_MultipleSpace_merger plans" xfId="633" xr:uid="{00000000-0005-0000-0000-000076020000}"/>
    <cellStyle name="_MultipleSpace_model_bk" xfId="634" xr:uid="{00000000-0005-0000-0000-000077020000}"/>
    <cellStyle name="_MultipleSpace_model_bk_BCE Model 1-8-07" xfId="635" xr:uid="{00000000-0005-0000-0000-000078020000}"/>
    <cellStyle name="_MultipleSpace_monet_final_w_output" xfId="636" xr:uid="{00000000-0005-0000-0000-000079020000}"/>
    <cellStyle name="_MultipleSpace_monet2.4" xfId="637" xr:uid="{00000000-0005-0000-0000-00007A020000}"/>
    <cellStyle name="_MultipleSpace_monet2.4_BCE Model 1-8-07" xfId="638" xr:uid="{00000000-0005-0000-0000-00007B020000}"/>
    <cellStyle name="_MultipleSpace_monet2.4_temp" xfId="639" xr:uid="{00000000-0005-0000-0000-00007C020000}"/>
    <cellStyle name="_MultipleSpace_monet2.4_temp_BCE Model 1-8-07" xfId="640" xr:uid="{00000000-0005-0000-0000-00007D020000}"/>
    <cellStyle name="_MultipleSpace_monet2.8" xfId="641" xr:uid="{00000000-0005-0000-0000-00007E020000}"/>
    <cellStyle name="_MultipleSpace_monet2.8_BCE Model 1-8-07" xfId="642" xr:uid="{00000000-0005-0000-0000-00007F020000}"/>
    <cellStyle name="_MultipleSpace_MotLion Projections may" xfId="643" xr:uid="{00000000-0005-0000-0000-000080020000}"/>
    <cellStyle name="_MultipleSpace_Old Intro" xfId="644" xr:uid="{00000000-0005-0000-0000-000081020000}"/>
    <cellStyle name="_MultipleSpace_Old Life CSC" xfId="645" xr:uid="{00000000-0005-0000-0000-000082020000}"/>
    <cellStyle name="_MultipleSpace_pace_merger plans" xfId="646" xr:uid="{00000000-0005-0000-0000-000083020000}"/>
    <cellStyle name="_MultipleSpace_Palm Model 10_05" xfId="647" xr:uid="{00000000-0005-0000-0000-000084020000}"/>
    <cellStyle name="_MultipleSpace_pdf file" xfId="648" xr:uid="{00000000-0005-0000-0000-000085020000}"/>
    <cellStyle name="_MultipleSpace_PNC_PF_2Q_update" xfId="649" xr:uid="{00000000-0005-0000-0000-000086020000}"/>
    <cellStyle name="_MultipleSpace_Potential Strategic Partners" xfId="650" xr:uid="{00000000-0005-0000-0000-000087020000}"/>
    <cellStyle name="_MultipleSpace_QVC LBO Model 2-12-03 v3" xfId="651" xr:uid="{00000000-0005-0000-0000-000088020000}"/>
    <cellStyle name="_MultipleSpace_RJB Long LBO LTM" xfId="652" xr:uid="{00000000-0005-0000-0000-000089020000}"/>
    <cellStyle name="_MultipleSpace_Summary Valuation Analysis" xfId="653" xr:uid="{00000000-0005-0000-0000-00008A020000}"/>
    <cellStyle name="_MultipleSpace_Synergies" xfId="654" xr:uid="{00000000-0005-0000-0000-00008B020000}"/>
    <cellStyle name="_MultipleSpace_Troon DCF Model 8-13-02 v1" xfId="655" xr:uid="{00000000-0005-0000-0000-00008C020000}"/>
    <cellStyle name="_MultipleSpace_Troon DCF Model 8-13-02 v1_BCE Model 1-8-07" xfId="656" xr:uid="{00000000-0005-0000-0000-00008D020000}"/>
    <cellStyle name="_MultipleSpace_Troon Financials 8-1-02" xfId="657" xr:uid="{00000000-0005-0000-0000-00008E020000}"/>
    <cellStyle name="_MultipleSpace_Troon LLC FS dpakedit 8-7-02" xfId="658" xr:uid="{00000000-0005-0000-0000-00008F020000}"/>
    <cellStyle name="_MultipleSpace_Troon LLC FS dpakedit 8-7-02 v3" xfId="659" xr:uid="{00000000-0005-0000-0000-000090020000}"/>
    <cellStyle name="_MultipleSpace_Troon LLC FS dpakedit 8-7-02 v4" xfId="660" xr:uid="{00000000-0005-0000-0000-000091020000}"/>
    <cellStyle name="_MultipleSpace_Troon_EBITDA" xfId="661" xr:uid="{00000000-0005-0000-0000-000092020000}"/>
    <cellStyle name="_MultipleSpace_Valuation Overview - June 2001" xfId="662" xr:uid="{00000000-0005-0000-0000-000093020000}"/>
    <cellStyle name="_MultipleSpace_Valuation Overview - June 2001_BCE Model 1-8-07" xfId="663" xr:uid="{00000000-0005-0000-0000-000094020000}"/>
    <cellStyle name="_MultipleSpace_Valuation_Troon dpak 8-5-02 v3" xfId="664" xr:uid="{00000000-0005-0000-0000-000095020000}"/>
    <cellStyle name="_Old Intro" xfId="665" xr:uid="{00000000-0005-0000-0000-000096020000}"/>
    <cellStyle name="_Output" xfId="666" xr:uid="{00000000-0005-0000-0000-000097020000}"/>
    <cellStyle name="_Percent" xfId="667" xr:uid="{00000000-0005-0000-0000-000098020000}"/>
    <cellStyle name="_Percent_101306 CanWest Excel BAck up v14" xfId="668" xr:uid="{00000000-0005-0000-0000-000099020000}"/>
    <cellStyle name="_Percent_3.33.Data" xfId="669" xr:uid="{00000000-0005-0000-0000-00009A020000}"/>
    <cellStyle name="_Percent_3.40.NWC" xfId="670" xr:uid="{00000000-0005-0000-0000-00009B020000}"/>
    <cellStyle name="_Percent_Accretion-(Dilution) Pearl" xfId="671" xr:uid="{00000000-0005-0000-0000-00009C020000}"/>
    <cellStyle name="_Percent_Acquisition Ops 3" xfId="672" xr:uid="{00000000-0005-0000-0000-00009D020000}"/>
    <cellStyle name="_Percent_Alamosa Merger" xfId="673" xr:uid="{00000000-0005-0000-0000-00009E020000}"/>
    <cellStyle name="_Percent_Alamosa Standalone8b" xfId="674" xr:uid="{00000000-0005-0000-0000-00009F020000}"/>
    <cellStyle name="_Percent_AVP" xfId="675" xr:uid="{00000000-0005-0000-0000-0000A0020000}"/>
    <cellStyle name="_Percent_Book1" xfId="676" xr:uid="{00000000-0005-0000-0000-0000A1020000}"/>
    <cellStyle name="_Percent_COMBO Final DCF_2" xfId="677" xr:uid="{00000000-0005-0000-0000-0000A2020000}"/>
    <cellStyle name="_Percent_Comparative Balance Sheets" xfId="678" xr:uid="{00000000-0005-0000-0000-0000A3020000}"/>
    <cellStyle name="_Percent_Copy of Leveraged Buyouts &amp; LBO Analysis (Ch. 4 &amp; 5) 11.3.08 (Submitted 2)" xfId="679" xr:uid="{00000000-0005-0000-0000-0000A4020000}"/>
    <cellStyle name="_Percent_Copy of Leveraged Buyouts &amp; LBO Analysis v12.8.08" xfId="680" xr:uid="{00000000-0005-0000-0000-0000A5020000}"/>
    <cellStyle name="_Percent_CSC with WACC" xfId="681" xr:uid="{00000000-0005-0000-0000-0000A6020000}"/>
    <cellStyle name="_Percent_Eutelsat and Capex Analysis" xfId="682" xr:uid="{00000000-0005-0000-0000-0000A7020000}"/>
    <cellStyle name="_Percent_I" xfId="683" xr:uid="{00000000-0005-0000-0000-0000A8020000}"/>
    <cellStyle name="_Percent_Leveraged Buyouts &amp; LBO Analysis v12.8.08" xfId="684" xr:uid="{00000000-0005-0000-0000-0000A9020000}"/>
    <cellStyle name="_Percent_Master_Telecom_Equipment_CSCb" xfId="685" xr:uid="{00000000-0005-0000-0000-0000AA020000}"/>
    <cellStyle name="_Percent_Merger Model - Exec" xfId="686" xr:uid="{00000000-0005-0000-0000-0000AB020000}"/>
    <cellStyle name="_Percent_merger plans" xfId="687" xr:uid="{00000000-0005-0000-0000-0000AC020000}"/>
    <cellStyle name="_Percent_monet2.4" xfId="688" xr:uid="{00000000-0005-0000-0000-0000AD020000}"/>
    <cellStyle name="_Percent_monet2.4_temp" xfId="689" xr:uid="{00000000-0005-0000-0000-0000AE020000}"/>
    <cellStyle name="_Percent_monet2.8" xfId="690" xr:uid="{00000000-0005-0000-0000-0000AF020000}"/>
    <cellStyle name="_Percent_MotLion Projections may" xfId="691" xr:uid="{00000000-0005-0000-0000-0000B0020000}"/>
    <cellStyle name="_Percent_Old Intro" xfId="692" xr:uid="{00000000-0005-0000-0000-0000B1020000}"/>
    <cellStyle name="_Percent_pace_merger plans" xfId="693" xr:uid="{00000000-0005-0000-0000-0000B2020000}"/>
    <cellStyle name="_Percent_Palm Model 10_05" xfId="694" xr:uid="{00000000-0005-0000-0000-0000B3020000}"/>
    <cellStyle name="_Percent_pdf file" xfId="695" xr:uid="{00000000-0005-0000-0000-0000B4020000}"/>
    <cellStyle name="_Percent_Sources and Uses FINAL dpakedit v2" xfId="696" xr:uid="{00000000-0005-0000-0000-0000B5020000}"/>
    <cellStyle name="_Percent_Valuation Overview - June 2001" xfId="697" xr:uid="{00000000-0005-0000-0000-0000B6020000}"/>
    <cellStyle name="_Percent_Valuation_Troon dpak 8-5-02 v3" xfId="698" xr:uid="{00000000-0005-0000-0000-0000B7020000}"/>
    <cellStyle name="_PercentReal" xfId="699" xr:uid="{00000000-0005-0000-0000-0000B8020000}"/>
    <cellStyle name="_PercentReal_BCE Model 1-8-07" xfId="700" xr:uid="{00000000-0005-0000-0000-0000B9020000}"/>
    <cellStyle name="_PercentReal_bs_avp" xfId="701" xr:uid="{00000000-0005-0000-0000-0000BA020000}"/>
    <cellStyle name="_PercentReal_bs_avp_BCE Model 1-8-07" xfId="702" xr:uid="{00000000-0005-0000-0000-0000BB020000}"/>
    <cellStyle name="_percentReal_monet_final_w_output" xfId="703" xr:uid="{00000000-0005-0000-0000-0000BC020000}"/>
    <cellStyle name="_percentReal_monet_final_w_output_BCE Model 1-8-07" xfId="704" xr:uid="{00000000-0005-0000-0000-0000BD020000}"/>
    <cellStyle name="_PercentSpace" xfId="705" xr:uid="{00000000-0005-0000-0000-0000BE020000}"/>
    <cellStyle name="_PercentSpace_101306 CanWest Excel BAck up v14" xfId="706" xr:uid="{00000000-0005-0000-0000-0000BF020000}"/>
    <cellStyle name="_PercentSpace_101306 CanWest Excel BAck up v14_BCE LBO Analysis (02_4_07) MASTER V6" xfId="707" xr:uid="{00000000-0005-0000-0000-0000C0020000}"/>
    <cellStyle name="_PercentSpace_3.33.Data" xfId="708" xr:uid="{00000000-0005-0000-0000-0000C1020000}"/>
    <cellStyle name="_PercentSpace_3.40.NWC" xfId="709" xr:uid="{00000000-0005-0000-0000-0000C2020000}"/>
    <cellStyle name="_PercentSpace_Accretion-(Dilution) Pearl" xfId="710" xr:uid="{00000000-0005-0000-0000-0000C3020000}"/>
    <cellStyle name="_PercentSpace_Acquisition Ops 3" xfId="711" xr:uid="{00000000-0005-0000-0000-0000C4020000}"/>
    <cellStyle name="_PercentSpace_Alamosa Merger" xfId="712" xr:uid="{00000000-0005-0000-0000-0000C5020000}"/>
    <cellStyle name="_PercentSpace_Alamosa Merger_BCE LBO Analysis (02_4_07) MASTER V6" xfId="713" xr:uid="{00000000-0005-0000-0000-0000C6020000}"/>
    <cellStyle name="_PercentSpace_Alamosa Standalone8b" xfId="714" xr:uid="{00000000-0005-0000-0000-0000C7020000}"/>
    <cellStyle name="_PercentSpace_Alamosa Standalone8b_BCE LBO Analysis (02_4_07) MASTER V6" xfId="715" xr:uid="{00000000-0005-0000-0000-0000C8020000}"/>
    <cellStyle name="_PercentSpace_AVP" xfId="716" xr:uid="{00000000-0005-0000-0000-0000C9020000}"/>
    <cellStyle name="_PercentSpace_Book1" xfId="717" xr:uid="{00000000-0005-0000-0000-0000CA020000}"/>
    <cellStyle name="_PercentSpace_Book1_Merger Plan 2-10-04 GSIBDv3" xfId="718" xr:uid="{00000000-0005-0000-0000-0000CB020000}"/>
    <cellStyle name="_PercentSpace_COMBO Final DCF_2" xfId="719" xr:uid="{00000000-0005-0000-0000-0000CC020000}"/>
    <cellStyle name="_PercentSpace_Comparative Balance Sheets" xfId="720" xr:uid="{00000000-0005-0000-0000-0000CD020000}"/>
    <cellStyle name="_PercentSpace_Copy of Leveraged Buyouts &amp; LBO Analysis (Ch. 4 &amp; 5) 11.3.08 (Submitted 2)" xfId="721" xr:uid="{00000000-0005-0000-0000-0000CE020000}"/>
    <cellStyle name="_PercentSpace_Copy of Leveraged Buyouts &amp; LBO Analysis v12.8.08" xfId="722" xr:uid="{00000000-0005-0000-0000-0000CF020000}"/>
    <cellStyle name="_PercentSpace_CSC with WACC" xfId="723" xr:uid="{00000000-0005-0000-0000-0000D0020000}"/>
    <cellStyle name="_PercentSpace_Eutelsat and Capex Analysis" xfId="724" xr:uid="{00000000-0005-0000-0000-0000D1020000}"/>
    <cellStyle name="_PercentSpace_I" xfId="725" xr:uid="{00000000-0005-0000-0000-0000D2020000}"/>
    <cellStyle name="_PercentSpace_Leveraged Buyouts &amp; LBO Analysis v12.8.08" xfId="726" xr:uid="{00000000-0005-0000-0000-0000D3020000}"/>
    <cellStyle name="_PercentSpace_Master_Telecom_Equipment_CSCb" xfId="727" xr:uid="{00000000-0005-0000-0000-0000D4020000}"/>
    <cellStyle name="_PercentSpace_Merger Model - Exec" xfId="728" xr:uid="{00000000-0005-0000-0000-0000D5020000}"/>
    <cellStyle name="_PercentSpace_merger plans" xfId="729" xr:uid="{00000000-0005-0000-0000-0000D6020000}"/>
    <cellStyle name="_PercentSpace_monet2.4" xfId="730" xr:uid="{00000000-0005-0000-0000-0000D7020000}"/>
    <cellStyle name="_PercentSpace_monet2.4_temp" xfId="731" xr:uid="{00000000-0005-0000-0000-0000D8020000}"/>
    <cellStyle name="_PercentSpace_monet2.8" xfId="732" xr:uid="{00000000-0005-0000-0000-0000D9020000}"/>
    <cellStyle name="_PercentSpace_MotLion Projections may" xfId="733" xr:uid="{00000000-0005-0000-0000-0000DA020000}"/>
    <cellStyle name="_PercentSpace_Old Intro" xfId="734" xr:uid="{00000000-0005-0000-0000-0000DB020000}"/>
    <cellStyle name="_PercentSpace_pace_merger plans" xfId="735" xr:uid="{00000000-0005-0000-0000-0000DC020000}"/>
    <cellStyle name="_PercentSpace_Palm Model 10_05" xfId="736" xr:uid="{00000000-0005-0000-0000-0000DD020000}"/>
    <cellStyle name="_PercentSpace_pdf file" xfId="737" xr:uid="{00000000-0005-0000-0000-0000DE020000}"/>
    <cellStyle name="_PercentSpace_Projections--Management (Data Room)v6" xfId="738" xr:uid="{00000000-0005-0000-0000-0000DF020000}"/>
    <cellStyle name="_PercentSpace_RJB Long LBO LTM" xfId="739" xr:uid="{00000000-0005-0000-0000-0000E0020000}"/>
    <cellStyle name="_PercentSpace_Sources and Uses FINAL dpakedit v2" xfId="740" xr:uid="{00000000-0005-0000-0000-0000E1020000}"/>
    <cellStyle name="_PercentSpace_Valuation Overview - June 2001" xfId="741" xr:uid="{00000000-0005-0000-0000-0000E2020000}"/>
    <cellStyle name="_PercentSpace_Valuation_Troon dpak 8-5-02 v3" xfId="742" xr:uid="{00000000-0005-0000-0000-0000E3020000}"/>
    <cellStyle name="_Preliminary LBO model 012305" xfId="743" xr:uid="{00000000-0005-0000-0000-0000E4020000}"/>
    <cellStyle name="_Sources and Uses FINAL dpakedit v2" xfId="744" xr:uid="{00000000-0005-0000-0000-0000E5020000}"/>
    <cellStyle name="_SubHeading" xfId="745" xr:uid="{00000000-0005-0000-0000-0000E6020000}"/>
    <cellStyle name="_SubHeading_01 model" xfId="746" xr:uid="{00000000-0005-0000-0000-0000E7020000}"/>
    <cellStyle name="_SubHeading_01 Selected Financials_Salt Business" xfId="747" xr:uid="{00000000-0005-0000-0000-0000E8020000}"/>
    <cellStyle name="_SubHeading_02 Potential Partner Ability to Pay Analysis2" xfId="748" xr:uid="{00000000-0005-0000-0000-0000E9020000}"/>
    <cellStyle name="_SubHeading_02 Quick Model_PQ Corporation" xfId="749" xr:uid="{00000000-0005-0000-0000-0000EA020000}"/>
    <cellStyle name="_SubHeading_06 Analysis at Various Prices" xfId="750" xr:uid="{00000000-0005-0000-0000-0000EB020000}"/>
    <cellStyle name="_SubHeading_12 Merger Plans" xfId="751" xr:uid="{00000000-0005-0000-0000-0000EC020000}"/>
    <cellStyle name="_SubHeading_accretion dilution analysis" xfId="752" xr:uid="{00000000-0005-0000-0000-0000ED020000}"/>
    <cellStyle name="_SubHeading_bank_csc_and merger plan4" xfId="753" xr:uid="{00000000-0005-0000-0000-0000EE020000}"/>
    <cellStyle name="_SubHeading_bank_csc_Q1_2001" xfId="754" xr:uid="{00000000-0005-0000-0000-0000EF020000}"/>
    <cellStyle name="_SubHeading_bank_csc_Q2_2001" xfId="755" xr:uid="{00000000-0005-0000-0000-0000F0020000}"/>
    <cellStyle name="_SubHeading_bank_csc_Q2_2001_c1" xfId="756" xr:uid="{00000000-0005-0000-0000-0000F1020000}"/>
    <cellStyle name="_SubHeading_Book1" xfId="757" xr:uid="{00000000-0005-0000-0000-0000F2020000}"/>
    <cellStyle name="_SubHeading_CSC with WACC" xfId="758" xr:uid="{00000000-0005-0000-0000-0000F3020000}"/>
    <cellStyle name="_SubHeading_CSC_Palm_Sum_of_Parts_5_23_01a" xfId="759" xr:uid="{00000000-0005-0000-0000-0000F4020000}"/>
    <cellStyle name="_SubHeading_Dave Model Final v 1" xfId="760" xr:uid="{00000000-0005-0000-0000-0000F5020000}"/>
    <cellStyle name="_SubHeading_er" xfId="761" xr:uid="{00000000-0005-0000-0000-0000F6020000}"/>
    <cellStyle name="_SubHeading_FigTech Merger Model_02" xfId="762" xr:uid="{00000000-0005-0000-0000-0000F7020000}"/>
    <cellStyle name="_SubHeading_Final Canadian Bank Comp (sent to IBD)FORM" xfId="763" xr:uid="{00000000-0005-0000-0000-0000F8020000}"/>
    <cellStyle name="_SubHeading_Financials Layout dpak 9-26-01 v1" xfId="764" xr:uid="{00000000-0005-0000-0000-0000F9020000}"/>
    <cellStyle name="_SubHeading_Football Field" xfId="765" xr:uid="{00000000-0005-0000-0000-0000FA020000}"/>
    <cellStyle name="_SubHeading_IBES_EPS_Estimates" xfId="766" xr:uid="{00000000-0005-0000-0000-0000FB020000}"/>
    <cellStyle name="_SubHeading_lbo_long_model" xfId="767" xr:uid="{00000000-0005-0000-0000-0000FC020000}"/>
    <cellStyle name="_SubHeading_Master_Telecom_Equipment_CSC_5_9_01_v02" xfId="768" xr:uid="{00000000-0005-0000-0000-0000FD020000}"/>
    <cellStyle name="_SubHeading_Master_Telecom_Equipment_CSCb" xfId="769" xr:uid="{00000000-0005-0000-0000-0000FE020000}"/>
    <cellStyle name="_SubHeading_MAXF historical financials" xfId="770" xr:uid="{00000000-0005-0000-0000-0000FF020000}"/>
    <cellStyle name="_SubHeading_Merger model_new_ability to pay" xfId="771" xr:uid="{00000000-0005-0000-0000-000000030000}"/>
    <cellStyle name="_SubHeading_Merger Plan 31-Scenario 12" xfId="772" xr:uid="{00000000-0005-0000-0000-000001030000}"/>
    <cellStyle name="_SubHeading_merger plans_June 1" xfId="773" xr:uid="{00000000-0005-0000-0000-000002030000}"/>
    <cellStyle name="_SubHeading_model_bk" xfId="774" xr:uid="{00000000-0005-0000-0000-000003030000}"/>
    <cellStyle name="_SubHeading_monet2.4" xfId="775" xr:uid="{00000000-0005-0000-0000-000004030000}"/>
    <cellStyle name="_SubHeading_MotLion Projections may" xfId="776" xr:uid="{00000000-0005-0000-0000-000005030000}"/>
    <cellStyle name="_SubHeading_PL Consolidated (2003)" xfId="777" xr:uid="{00000000-0005-0000-0000-000006030000}"/>
    <cellStyle name="_SubHeading_PNC_merger_plan_divestitures_05" xfId="778" xr:uid="{00000000-0005-0000-0000-000007030000}"/>
    <cellStyle name="_SubHeading_Potential Strategic Partners" xfId="779" xr:uid="{00000000-0005-0000-0000-000008030000}"/>
    <cellStyle name="_SubHeading_prestemp" xfId="780" xr:uid="{00000000-0005-0000-0000-000009030000}"/>
    <cellStyle name="_SubHeading_prestemp_1" xfId="781" xr:uid="{00000000-0005-0000-0000-00000A030000}"/>
    <cellStyle name="_SubHeading_prestemp_AVP - prev. 06 financials" xfId="782" xr:uid="{00000000-0005-0000-0000-00000B030000}"/>
    <cellStyle name="_SubHeading_prestemp_Palm Model 10_05" xfId="783" xr:uid="{00000000-0005-0000-0000-00000C030000}"/>
    <cellStyle name="_SubHeading_prestemp_PNC_merger_plan_divestitures_05" xfId="784" xr:uid="{00000000-0005-0000-0000-00000D030000}"/>
    <cellStyle name="_SubHeading_prestemp_PNC_PF_2Q_update" xfId="785" xr:uid="{00000000-0005-0000-0000-00000E030000}"/>
    <cellStyle name="_SubHeading_prestemp_Simple Merger Plans" xfId="786" xr:uid="{00000000-0005-0000-0000-00000F030000}"/>
    <cellStyle name="_SubHeading_prestemp_Troon DCF Model 8-13-02 v1" xfId="787" xr:uid="{00000000-0005-0000-0000-000010030000}"/>
    <cellStyle name="_SubHeading_prestemp_Valuation_Troon dpak 8-5-02 v3" xfId="788" xr:uid="{00000000-0005-0000-0000-000011030000}"/>
    <cellStyle name="_SubHeading_Simple Merger Plans" xfId="789" xr:uid="{00000000-0005-0000-0000-000012030000}"/>
    <cellStyle name="_SubHeading_Stallion Analysis_a" xfId="790" xr:uid="{00000000-0005-0000-0000-000013030000}"/>
    <cellStyle name="_SubHeading_stand_alone_dcf" xfId="791" xr:uid="{00000000-0005-0000-0000-000014030000}"/>
    <cellStyle name="_SubHeading_Summary Financials 04" xfId="792" xr:uid="{00000000-0005-0000-0000-000015030000}"/>
    <cellStyle name="_SubHeading_Summary Valuation Analysis" xfId="793" xr:uid="{00000000-0005-0000-0000-000016030000}"/>
    <cellStyle name="_SubHeading_Synergies" xfId="794" xr:uid="{00000000-0005-0000-0000-000017030000}"/>
    <cellStyle name="_SubHeading_Troon DCF Model 8-13-02 v1" xfId="795" xr:uid="{00000000-0005-0000-0000-000018030000}"/>
    <cellStyle name="_SubHeading_Troon LLC FS dpakedit 8-7-02" xfId="796" xr:uid="{00000000-0005-0000-0000-000019030000}"/>
    <cellStyle name="_SubHeading_Troon LLC FS dpakedit 8-7-02 v3" xfId="797" xr:uid="{00000000-0005-0000-0000-00001A030000}"/>
    <cellStyle name="_SubHeading_Troon LLC FS dpakedit 8-7-02 v4" xfId="798" xr:uid="{00000000-0005-0000-0000-00001B030000}"/>
    <cellStyle name="_SubHeading_Valuation_Troon dpak 8-5-02 v3" xfId="799" xr:uid="{00000000-0005-0000-0000-00001C030000}"/>
    <cellStyle name="_Table" xfId="800" xr:uid="{00000000-0005-0000-0000-00001D030000}"/>
    <cellStyle name="_Table_01 model" xfId="801" xr:uid="{00000000-0005-0000-0000-00001E030000}"/>
    <cellStyle name="_Table_01 Selected Financials_Salt Business" xfId="802" xr:uid="{00000000-0005-0000-0000-00001F030000}"/>
    <cellStyle name="_Table_02 Potential Partner Ability to Pay Analysis2" xfId="803" xr:uid="{00000000-0005-0000-0000-000020030000}"/>
    <cellStyle name="_Table_02 Quick Model_PQ Corporation" xfId="804" xr:uid="{00000000-0005-0000-0000-000021030000}"/>
    <cellStyle name="_Table_06 Analysis at Various Prices" xfId="805" xr:uid="{00000000-0005-0000-0000-000022030000}"/>
    <cellStyle name="_Table_12 Merger Plans" xfId="806" xr:uid="{00000000-0005-0000-0000-000023030000}"/>
    <cellStyle name="_Table_accretion dilution analysis" xfId="807" xr:uid="{00000000-0005-0000-0000-000024030000}"/>
    <cellStyle name="_Table_bank_csc_and merger plan4" xfId="808" xr:uid="{00000000-0005-0000-0000-000025030000}"/>
    <cellStyle name="_Table_bank_csc_Q1_2001" xfId="809" xr:uid="{00000000-0005-0000-0000-000026030000}"/>
    <cellStyle name="_Table_bank_csc_Q2_2001" xfId="810" xr:uid="{00000000-0005-0000-0000-000027030000}"/>
    <cellStyle name="_Table_bank_csc_Q2_2001_c1" xfId="811" xr:uid="{00000000-0005-0000-0000-000028030000}"/>
    <cellStyle name="_Table_CSC_Palm_Sum_of_Parts_5_23_01a" xfId="812" xr:uid="{00000000-0005-0000-0000-000029030000}"/>
    <cellStyle name="_Table_Dave Model Final v 1" xfId="813" xr:uid="{00000000-0005-0000-0000-00002A030000}"/>
    <cellStyle name="_Table_FigTech Merger Model_02" xfId="814" xr:uid="{00000000-0005-0000-0000-00002B030000}"/>
    <cellStyle name="_Table_Financials Layout dpak 9-26-01 v1" xfId="815" xr:uid="{00000000-0005-0000-0000-00002C030000}"/>
    <cellStyle name="_Table_Football Field" xfId="816" xr:uid="{00000000-0005-0000-0000-00002D030000}"/>
    <cellStyle name="_Table_IBES_EPS_Estimates" xfId="817" xr:uid="{00000000-0005-0000-0000-00002E030000}"/>
    <cellStyle name="_Table_Merger model_new_ability to pay" xfId="818" xr:uid="{00000000-0005-0000-0000-00002F030000}"/>
    <cellStyle name="_Table_model_bk" xfId="819" xr:uid="{00000000-0005-0000-0000-000030030000}"/>
    <cellStyle name="_Table_monet_final_w_output" xfId="820" xr:uid="{00000000-0005-0000-0000-000031030000}"/>
    <cellStyle name="_Table_Palm Model 10_05" xfId="821" xr:uid="{00000000-0005-0000-0000-000032030000}"/>
    <cellStyle name="_Table_PNC_merger_plan_divestitures_05" xfId="822" xr:uid="{00000000-0005-0000-0000-000033030000}"/>
    <cellStyle name="_Table_Potential Strategic Partners" xfId="823" xr:uid="{00000000-0005-0000-0000-000034030000}"/>
    <cellStyle name="_Table_Simple Merger Plans" xfId="824" xr:uid="{00000000-0005-0000-0000-000035030000}"/>
    <cellStyle name="_Table_Stallion Analysis_a" xfId="825" xr:uid="{00000000-0005-0000-0000-000036030000}"/>
    <cellStyle name="_Table_stand_alone_dcf" xfId="826" xr:uid="{00000000-0005-0000-0000-000037030000}"/>
    <cellStyle name="_Table_Summary Valuation Analysis" xfId="827" xr:uid="{00000000-0005-0000-0000-000038030000}"/>
    <cellStyle name="_Table_Synergies" xfId="828" xr:uid="{00000000-0005-0000-0000-000039030000}"/>
    <cellStyle name="_Table_Troon DCF Model 8-13-02 v1" xfId="829" xr:uid="{00000000-0005-0000-0000-00003A030000}"/>
    <cellStyle name="_Table_Troon LLC FS dpakedit 8-7-02" xfId="830" xr:uid="{00000000-0005-0000-0000-00003B030000}"/>
    <cellStyle name="_Table_Troon LLC FS dpakedit 8-7-02 v3" xfId="831" xr:uid="{00000000-0005-0000-0000-00003C030000}"/>
    <cellStyle name="_Table_Troon LLC FS dpakedit 8-7-02 v4" xfId="832" xr:uid="{00000000-0005-0000-0000-00003D030000}"/>
    <cellStyle name="_Table_Valuation_Troon dpak 8-5-02 v3" xfId="833" xr:uid="{00000000-0005-0000-0000-00003E030000}"/>
    <cellStyle name="_TableHead" xfId="834" xr:uid="{00000000-0005-0000-0000-00003F030000}"/>
    <cellStyle name="_TableHead_01 Selected Financials_Salt Business" xfId="835" xr:uid="{00000000-0005-0000-0000-000040030000}"/>
    <cellStyle name="_TableHead_02 Quick Model_PQ Corporation" xfId="836" xr:uid="{00000000-0005-0000-0000-000041030000}"/>
    <cellStyle name="_TableHead_06 Analysis at Various Prices" xfId="837" xr:uid="{00000000-0005-0000-0000-000042030000}"/>
    <cellStyle name="_TableHead_accretion dilution analysis" xfId="838" xr:uid="{00000000-0005-0000-0000-000043030000}"/>
    <cellStyle name="_TableHead_AVP - prev. 06 financials" xfId="839" xr:uid="{00000000-0005-0000-0000-000044030000}"/>
    <cellStyle name="_TableHead_bank_csc_Q1_2001" xfId="840" xr:uid="{00000000-0005-0000-0000-000045030000}"/>
    <cellStyle name="_TableHead_bank_csc_Q2_2001_c1" xfId="841" xr:uid="{00000000-0005-0000-0000-000046030000}"/>
    <cellStyle name="_TableHead_CSC_Palm_Sum_of_Parts_5_23_01a" xfId="842" xr:uid="{00000000-0005-0000-0000-000047030000}"/>
    <cellStyle name="_TableHead_Dave Model Final v 1" xfId="843" xr:uid="{00000000-0005-0000-0000-000048030000}"/>
    <cellStyle name="_TableHead_Financials Layout dpak 9-26-01 v1" xfId="844" xr:uid="{00000000-0005-0000-0000-000049030000}"/>
    <cellStyle name="_TableHead_IBES_EPS_Estimates" xfId="845" xr:uid="{00000000-0005-0000-0000-00004A030000}"/>
    <cellStyle name="_TableHead_model_bk" xfId="846" xr:uid="{00000000-0005-0000-0000-00004B030000}"/>
    <cellStyle name="_TableHead_monet_final_w_output" xfId="847" xr:uid="{00000000-0005-0000-0000-00004C030000}"/>
    <cellStyle name="_TableHead_Palm Model 10_05" xfId="848" xr:uid="{00000000-0005-0000-0000-00004D030000}"/>
    <cellStyle name="_TableHead_Potential Strategic Partners" xfId="849" xr:uid="{00000000-0005-0000-0000-00004E030000}"/>
    <cellStyle name="_TableHead_Simple Merger Plans" xfId="850" xr:uid="{00000000-0005-0000-0000-00004F030000}"/>
    <cellStyle name="_TableHeading" xfId="851" xr:uid="{00000000-0005-0000-0000-000050030000}"/>
    <cellStyle name="_TableRowBorder" xfId="852" xr:uid="{00000000-0005-0000-0000-000051030000}"/>
    <cellStyle name="_TableRowHead" xfId="853" xr:uid="{00000000-0005-0000-0000-000052030000}"/>
    <cellStyle name="_TableRowHead_01 Selected Financials_Salt Business" xfId="854" xr:uid="{00000000-0005-0000-0000-000053030000}"/>
    <cellStyle name="_TableRowHead_02 Quick Model_PQ Corporation" xfId="855" xr:uid="{00000000-0005-0000-0000-000054030000}"/>
    <cellStyle name="_TableRowHead_06 Analysis at Various Prices" xfId="856" xr:uid="{00000000-0005-0000-0000-000055030000}"/>
    <cellStyle name="_TableRowHead_accretion dilution analysis" xfId="857" xr:uid="{00000000-0005-0000-0000-000056030000}"/>
    <cellStyle name="_TableRowHead_CSC_Palm_Sum_of_Parts_5_23_01a" xfId="858" xr:uid="{00000000-0005-0000-0000-000057030000}"/>
    <cellStyle name="_TableRowHead_Dave Model Final v 1" xfId="859" xr:uid="{00000000-0005-0000-0000-000058030000}"/>
    <cellStyle name="_TableRowHead_Financials Layout dpak 9-26-01 v1" xfId="860" xr:uid="{00000000-0005-0000-0000-000059030000}"/>
    <cellStyle name="_TableRowHead_IBES_EPS_Estimates" xfId="861" xr:uid="{00000000-0005-0000-0000-00005A030000}"/>
    <cellStyle name="_TableRowHead_Palm Model 10_05" xfId="862" xr:uid="{00000000-0005-0000-0000-00005B030000}"/>
    <cellStyle name="_TableRowHead_Potential Strategic Partners" xfId="863" xr:uid="{00000000-0005-0000-0000-00005C030000}"/>
    <cellStyle name="_TableRowHead_Simple Merger Plans" xfId="864" xr:uid="{00000000-0005-0000-0000-00005D030000}"/>
    <cellStyle name="_TableRowHeading" xfId="865" xr:uid="{00000000-0005-0000-0000-00005E030000}"/>
    <cellStyle name="_TableSuperHead" xfId="866" xr:uid="{00000000-0005-0000-0000-00005F030000}"/>
    <cellStyle name="_TableSuperHead_01 model" xfId="867" xr:uid="{00000000-0005-0000-0000-000060030000}"/>
    <cellStyle name="_TableSuperHead_01 Selected Financials_Salt Business" xfId="868" xr:uid="{00000000-0005-0000-0000-000061030000}"/>
    <cellStyle name="_TableSuperHead_02 Potential Partner Ability to Pay Analysis2" xfId="869" xr:uid="{00000000-0005-0000-0000-000062030000}"/>
    <cellStyle name="_TableSuperHead_02 Quick Model_PQ Corporation" xfId="870" xr:uid="{00000000-0005-0000-0000-000063030000}"/>
    <cellStyle name="_TableSuperHead_06 Analysis at Various Prices" xfId="871" xr:uid="{00000000-0005-0000-0000-000064030000}"/>
    <cellStyle name="_TableSuperHead_12 Merger Plans" xfId="872" xr:uid="{00000000-0005-0000-0000-000065030000}"/>
    <cellStyle name="_TableSuperHead_accretion dilution analysis" xfId="873" xr:uid="{00000000-0005-0000-0000-000066030000}"/>
    <cellStyle name="_TableSuperHead_AVP - prev. 06 financials" xfId="874" xr:uid="{00000000-0005-0000-0000-000067030000}"/>
    <cellStyle name="_TableSuperHead_bank_csc_and merger plan4" xfId="875" xr:uid="{00000000-0005-0000-0000-000068030000}"/>
    <cellStyle name="_TableSuperHead_bank_csc_Q1_2001" xfId="876" xr:uid="{00000000-0005-0000-0000-000069030000}"/>
    <cellStyle name="_TableSuperHead_bank_csc_Q2_2001" xfId="877" xr:uid="{00000000-0005-0000-0000-00006A030000}"/>
    <cellStyle name="_TableSuperHead_bank_csc_Q2_2001_c1" xfId="878" xr:uid="{00000000-0005-0000-0000-00006B030000}"/>
    <cellStyle name="_TableSuperHead_CSC_Palm_Sum_of_Parts_5_23_01a" xfId="879" xr:uid="{00000000-0005-0000-0000-00006C030000}"/>
    <cellStyle name="_TableSuperHead_Dave Model Final v 1" xfId="880" xr:uid="{00000000-0005-0000-0000-00006D030000}"/>
    <cellStyle name="_TableSuperHead_FigTech Merger Model_02" xfId="881" xr:uid="{00000000-0005-0000-0000-00006E030000}"/>
    <cellStyle name="_TableSuperHead_Financials Layout dpak 9-26-01 v1" xfId="882" xr:uid="{00000000-0005-0000-0000-00006F030000}"/>
    <cellStyle name="_TableSuperHead_Football Field" xfId="883" xr:uid="{00000000-0005-0000-0000-000070030000}"/>
    <cellStyle name="_TableSuperHead_IBES_EPS_Estimates" xfId="884" xr:uid="{00000000-0005-0000-0000-000071030000}"/>
    <cellStyle name="_TableSuperHead_Merger model_new_ability to pay" xfId="885" xr:uid="{00000000-0005-0000-0000-000072030000}"/>
    <cellStyle name="_TableSuperHead_model_bk" xfId="886" xr:uid="{00000000-0005-0000-0000-000073030000}"/>
    <cellStyle name="_TableSuperHead_monet_final_w_output" xfId="887" xr:uid="{00000000-0005-0000-0000-000074030000}"/>
    <cellStyle name="_TableSuperHead_Palm Model 10_05" xfId="888" xr:uid="{00000000-0005-0000-0000-000075030000}"/>
    <cellStyle name="_TableSuperHead_PNC_merger_plan_divestitures_05" xfId="889" xr:uid="{00000000-0005-0000-0000-000076030000}"/>
    <cellStyle name="_TableSuperHead_Potential Strategic Partners" xfId="890" xr:uid="{00000000-0005-0000-0000-000077030000}"/>
    <cellStyle name="_TableSuperHead_Simple Merger Plans" xfId="891" xr:uid="{00000000-0005-0000-0000-000078030000}"/>
    <cellStyle name="_TableSuperHead_Stallion Analysis_a" xfId="892" xr:uid="{00000000-0005-0000-0000-000079030000}"/>
    <cellStyle name="_TableSuperHead_stand_alone_dcf" xfId="893" xr:uid="{00000000-0005-0000-0000-00007A030000}"/>
    <cellStyle name="_TableSuperHead_Summary Valuation Analysis" xfId="894" xr:uid="{00000000-0005-0000-0000-00007B030000}"/>
    <cellStyle name="_TableSuperHead_Synergies" xfId="895" xr:uid="{00000000-0005-0000-0000-00007C030000}"/>
    <cellStyle name="_TableSuperHead_Troon DCF Model 8-13-02 v1" xfId="896" xr:uid="{00000000-0005-0000-0000-00007D030000}"/>
    <cellStyle name="_TableSuperHead_Troon LLC FS dpakedit 8-7-02" xfId="897" xr:uid="{00000000-0005-0000-0000-00007E030000}"/>
    <cellStyle name="_TableSuperHead_Troon LLC FS dpakedit 8-7-02 v3" xfId="898" xr:uid="{00000000-0005-0000-0000-00007F030000}"/>
    <cellStyle name="_TableSuperHead_Troon LLC FS dpakedit 8-7-02 v4" xfId="899" xr:uid="{00000000-0005-0000-0000-000080030000}"/>
    <cellStyle name="_TableSuperHead_Valuation_Troon dpak 8-5-02 v3" xfId="900" xr:uid="{00000000-0005-0000-0000-000081030000}"/>
    <cellStyle name="_TableSuperHeading" xfId="901" xr:uid="{00000000-0005-0000-0000-000082030000}"/>
    <cellStyle name="_TableText" xfId="902" xr:uid="{00000000-0005-0000-0000-000083030000}"/>
    <cellStyle name="_TDN1110 HF Comps 070108" xfId="903" xr:uid="{00000000-0005-0000-0000-000084030000}"/>
    <cellStyle name="_Titan Standalone" xfId="904" xr:uid="{00000000-0005-0000-0000-000085030000}"/>
    <cellStyle name="_VLCO" xfId="905" xr:uid="{00000000-0005-0000-0000-000086030000}"/>
    <cellStyle name="_WACC Analysis" xfId="906" xr:uid="{00000000-0005-0000-0000-000087030000}"/>
    <cellStyle name="_Year" xfId="907" xr:uid="{00000000-0005-0000-0000-000088030000}"/>
    <cellStyle name="_Year_BCE Model 1-8-07" xfId="908" xr:uid="{00000000-0005-0000-0000-000089030000}"/>
    <cellStyle name="’Ê‰Ý [0.00]_Cover" xfId="909" xr:uid="{00000000-0005-0000-0000-00008A030000}"/>
    <cellStyle name="’Ê‰Ý_Cover" xfId="910" xr:uid="{00000000-0005-0000-0000-00008B030000}"/>
    <cellStyle name="¢ Currency [1]" xfId="911" xr:uid="{00000000-0005-0000-0000-00008C030000}"/>
    <cellStyle name="¢ Currency [2]" xfId="912" xr:uid="{00000000-0005-0000-0000-00008D030000}"/>
    <cellStyle name="¢ Currency [3]" xfId="913" xr:uid="{00000000-0005-0000-0000-00008E030000}"/>
    <cellStyle name="£ BP" xfId="914" xr:uid="{00000000-0005-0000-0000-00008F030000}"/>
    <cellStyle name="£ Currency [0]" xfId="915" xr:uid="{00000000-0005-0000-0000-000090030000}"/>
    <cellStyle name="£ Currency [1]" xfId="916" xr:uid="{00000000-0005-0000-0000-000091030000}"/>
    <cellStyle name="£ Currency [2]" xfId="917" xr:uid="{00000000-0005-0000-0000-000092030000}"/>
    <cellStyle name="¤@¯ë_pldt" xfId="918" xr:uid="{00000000-0005-0000-0000-000093030000}"/>
    <cellStyle name="¥ JY" xfId="919" xr:uid="{00000000-0005-0000-0000-000094030000}"/>
    <cellStyle name="=C:\WINDOWS\SYSTEM32\COMMAND.COM" xfId="920" xr:uid="{00000000-0005-0000-0000-000095030000}"/>
    <cellStyle name="=C:\WINNT\SYSTEM32\COMMAND.COM" xfId="922" xr:uid="{00000000-0005-0000-0000-000096030000}"/>
    <cellStyle name="=C:\WINNT35\SYSTEM32\COMMAND.COM" xfId="923" xr:uid="{00000000-0005-0000-0000-000097030000}"/>
    <cellStyle name="•W€_Capital Structure" xfId="924" xr:uid="{00000000-0005-0000-0000-000098030000}"/>
    <cellStyle name="•W_Cover" xfId="925" xr:uid="{00000000-0005-0000-0000-000099030000}"/>
    <cellStyle name="0" xfId="941" xr:uid="{00000000-0005-0000-0000-00009A030000}"/>
    <cellStyle name="0%" xfId="942" xr:uid="{00000000-0005-0000-0000-00009B030000}"/>
    <cellStyle name="0.0" xfId="943" xr:uid="{00000000-0005-0000-0000-00009C030000}"/>
    <cellStyle name="0.0 aligned" xfId="944" xr:uid="{00000000-0005-0000-0000-00009D030000}"/>
    <cellStyle name="0.0 NORMAL" xfId="945" xr:uid="{00000000-0005-0000-0000-00009E030000}"/>
    <cellStyle name="0.0 PERCENT" xfId="946" xr:uid="{00000000-0005-0000-0000-00009F030000}"/>
    <cellStyle name="0.0%" xfId="947" xr:uid="{00000000-0005-0000-0000-0000A0030000}"/>
    <cellStyle name="0.00" xfId="948" xr:uid="{00000000-0005-0000-0000-0000A1030000}"/>
    <cellStyle name="0.00 aligned" xfId="949" xr:uid="{00000000-0005-0000-0000-0000A2030000}"/>
    <cellStyle name="0.00%" xfId="950" xr:uid="{00000000-0005-0000-0000-0000A3030000}"/>
    <cellStyle name="0_CKFR Model 11-30-06" xfId="951" xr:uid="{00000000-0005-0000-0000-0000A4030000}"/>
    <cellStyle name="0_CKFR Model 11-30-06_BCE Model 1-8-07" xfId="952" xr:uid="{00000000-0005-0000-0000-0000A5030000}"/>
    <cellStyle name="000" xfId="953" xr:uid="{00000000-0005-0000-0000-0000A6030000}"/>
    <cellStyle name="0000" xfId="954" xr:uid="{00000000-0005-0000-0000-0000A7030000}"/>
    <cellStyle name="000000" xfId="955" xr:uid="{00000000-0005-0000-0000-0000A8030000}"/>
    <cellStyle name="1,comma" xfId="956" xr:uid="{00000000-0005-0000-0000-0000A9030000}"/>
    <cellStyle name="2 Decimal Places" xfId="957" xr:uid="{00000000-0005-0000-0000-0000AA030000}"/>
    <cellStyle name="20% - Accent1" xfId="958" builtinId="30" customBuiltin="1"/>
    <cellStyle name="20% - Accent2" xfId="959" builtinId="34" customBuiltin="1"/>
    <cellStyle name="20% - Accent3" xfId="960" builtinId="38" customBuiltin="1"/>
    <cellStyle name="20% - Accent4" xfId="961" builtinId="42" customBuiltin="1"/>
    <cellStyle name="20% - Accent5" xfId="962" builtinId="46" customBuiltin="1"/>
    <cellStyle name="20% - Accent6" xfId="963" builtinId="50" customBuiltin="1"/>
    <cellStyle name="³f¹ô[0]_pldt" xfId="964" xr:uid="{00000000-0005-0000-0000-0000B1030000}"/>
    <cellStyle name="³f¹ô_pldt" xfId="965" xr:uid="{00000000-0005-0000-0000-0000B2030000}"/>
    <cellStyle name="40% - Accent1" xfId="966" builtinId="31" customBuiltin="1"/>
    <cellStyle name="40% - Accent2" xfId="967" builtinId="35" customBuiltin="1"/>
    <cellStyle name="40% - Accent3" xfId="968" builtinId="39" customBuiltin="1"/>
    <cellStyle name="40% - Accent4" xfId="969" builtinId="43" customBuiltin="1"/>
    <cellStyle name="40% - Accent5" xfId="970" builtinId="47" customBuiltin="1"/>
    <cellStyle name="40% - Accent6" xfId="971" builtinId="51" customBuiltin="1"/>
    <cellStyle name="60% - Accent1" xfId="972" builtinId="32" customBuiltin="1"/>
    <cellStyle name="60% - Accent2" xfId="973" builtinId="36" customBuiltin="1"/>
    <cellStyle name="60% - Accent3" xfId="974" builtinId="40" customBuiltin="1"/>
    <cellStyle name="60% - Accent4" xfId="975" builtinId="44" customBuiltin="1"/>
    <cellStyle name="60% - Accent5" xfId="976" builtinId="48" customBuiltin="1"/>
    <cellStyle name="60% - Accent6" xfId="977" builtinId="52" customBuiltin="1"/>
    <cellStyle name="752131" xfId="978" xr:uid="{00000000-0005-0000-0000-0000BF030000}"/>
    <cellStyle name="8" xfId="979" xr:uid="{00000000-0005-0000-0000-0000C0030000}"/>
    <cellStyle name="a - Comma" xfId="980" xr:uid="{00000000-0005-0000-0000-0000C1030000}"/>
    <cellStyle name="A_Block Space" xfId="981" xr:uid="{00000000-0005-0000-0000-0000C2030000}"/>
    <cellStyle name="A_BlueLine" xfId="982" xr:uid="{00000000-0005-0000-0000-0000C3030000}"/>
    <cellStyle name="A_Do not Change" xfId="983" xr:uid="{00000000-0005-0000-0000-0000C4030000}"/>
    <cellStyle name="A_Estimate" xfId="984" xr:uid="{00000000-0005-0000-0000-0000C5030000}"/>
    <cellStyle name="A_Memo" xfId="985" xr:uid="{00000000-0005-0000-0000-0000C6030000}"/>
    <cellStyle name="A_Normal" xfId="986" xr:uid="{00000000-0005-0000-0000-0000C7030000}"/>
    <cellStyle name="A_Normal Forecast" xfId="987" xr:uid="{00000000-0005-0000-0000-0000C8030000}"/>
    <cellStyle name="A_Normal Historical" xfId="988" xr:uid="{00000000-0005-0000-0000-0000C9030000}"/>
    <cellStyle name="A_Rate_Data" xfId="989" xr:uid="{00000000-0005-0000-0000-0000CA030000}"/>
    <cellStyle name="A_Rate_Data Historical" xfId="990" xr:uid="{00000000-0005-0000-0000-0000CB030000}"/>
    <cellStyle name="A_Rate_Title" xfId="991" xr:uid="{00000000-0005-0000-0000-0000CC030000}"/>
    <cellStyle name="A_Simple Title" xfId="992" xr:uid="{00000000-0005-0000-0000-0000CD030000}"/>
    <cellStyle name="A_Sum" xfId="993" xr:uid="{00000000-0005-0000-0000-0000CE030000}"/>
    <cellStyle name="A_SUM_Row Major" xfId="994" xr:uid="{00000000-0005-0000-0000-0000CF030000}"/>
    <cellStyle name="A_SUM_Row Minor" xfId="995" xr:uid="{00000000-0005-0000-0000-0000D0030000}"/>
    <cellStyle name="A_Title" xfId="996" xr:uid="{00000000-0005-0000-0000-0000D1030000}"/>
    <cellStyle name="A_YearHeadings" xfId="997" xr:uid="{00000000-0005-0000-0000-0000D2030000}"/>
    <cellStyle name="Absolute Change" xfId="998" xr:uid="{00000000-0005-0000-0000-0000D3030000}"/>
    <cellStyle name="Accent1" xfId="999" builtinId="29" customBuiltin="1"/>
    <cellStyle name="Accent2" xfId="1000" builtinId="33" customBuiltin="1"/>
    <cellStyle name="Accent3" xfId="1001" builtinId="37" customBuiltin="1"/>
    <cellStyle name="Accent4" xfId="1002" builtinId="41" customBuiltin="1"/>
    <cellStyle name="Accent5" xfId="1003" builtinId="45" customBuiltin="1"/>
    <cellStyle name="Accent6" xfId="1004" builtinId="49" customBuiltin="1"/>
    <cellStyle name="Accounting" xfId="1005" xr:uid="{00000000-0005-0000-0000-0000DA030000}"/>
    <cellStyle name="Accounting[0]" xfId="1006" xr:uid="{00000000-0005-0000-0000-0000DB030000}"/>
    <cellStyle name="Acctg" xfId="1007" xr:uid="{00000000-0005-0000-0000-0000DC030000}"/>
    <cellStyle name="Acctg$" xfId="1008" xr:uid="{00000000-0005-0000-0000-0000DD030000}"/>
    <cellStyle name="Acctg_FS" xfId="1009" xr:uid="{00000000-0005-0000-0000-0000DE030000}"/>
    <cellStyle name="Actual data" xfId="1010" xr:uid="{00000000-0005-0000-0000-0000DF030000}"/>
    <cellStyle name="Actual Date" xfId="1011" xr:uid="{00000000-0005-0000-0000-0000E0030000}"/>
    <cellStyle name="Actual year" xfId="1012" xr:uid="{00000000-0005-0000-0000-0000E1030000}"/>
    <cellStyle name="Actuals Cells" xfId="1013" xr:uid="{00000000-0005-0000-0000-0000E2030000}"/>
    <cellStyle name="adj_share" xfId="1014" xr:uid="{00000000-0005-0000-0000-0000E3030000}"/>
    <cellStyle name="AFE" xfId="921" xr:uid="{00000000-0005-0000-0000-0000E4030000}"/>
    <cellStyle name="Afjusted" xfId="1015" xr:uid="{00000000-0005-0000-0000-0000E5030000}"/>
    <cellStyle name="Agara" xfId="1016" xr:uid="{00000000-0005-0000-0000-0000E6030000}"/>
    <cellStyle name="Alert" xfId="1017" xr:uid="{00000000-0005-0000-0000-0000E7030000}"/>
    <cellStyle name="args.style" xfId="1018" xr:uid="{00000000-0005-0000-0000-0000E8030000}"/>
    <cellStyle name="Arial 10" xfId="1019" xr:uid="{00000000-0005-0000-0000-0000E9030000}"/>
    <cellStyle name="Arial 12" xfId="1020" xr:uid="{00000000-0005-0000-0000-0000EA030000}"/>
    <cellStyle name="Arial6Bold" xfId="1021" xr:uid="{00000000-0005-0000-0000-0000EB030000}"/>
    <cellStyle name="Arial8Bold" xfId="1022" xr:uid="{00000000-0005-0000-0000-0000EC030000}"/>
    <cellStyle name="Arial8Italic" xfId="1023" xr:uid="{00000000-0005-0000-0000-0000ED030000}"/>
    <cellStyle name="ArialNormal" xfId="1024" xr:uid="{00000000-0005-0000-0000-0000EE030000}"/>
    <cellStyle name="Ariel 7 pt. plain" xfId="1025" xr:uid="{00000000-0005-0000-0000-0000EF030000}"/>
    <cellStyle name="Array" xfId="1026" xr:uid="{00000000-0005-0000-0000-0000F0030000}"/>
    <cellStyle name="Array Enter" xfId="1027" xr:uid="{00000000-0005-0000-0000-0000F1030000}"/>
    <cellStyle name="Assumption" xfId="1028" xr:uid="{00000000-0005-0000-0000-0000F2030000}"/>
    <cellStyle name="Availability" xfId="1029" xr:uid="{00000000-0005-0000-0000-0000F3030000}"/>
    <cellStyle name="b" xfId="1030" xr:uid="{00000000-0005-0000-0000-0000F4030000}"/>
    <cellStyle name="b - Line" xfId="1031" xr:uid="{00000000-0005-0000-0000-0000F5030000}"/>
    <cellStyle name="b - Line - Dotted" xfId="1032" xr:uid="{00000000-0005-0000-0000-0000F6030000}"/>
    <cellStyle name="Bad" xfId="1033" builtinId="27" customBuiltin="1"/>
    <cellStyle name="Balance" xfId="1034" xr:uid="{00000000-0005-0000-0000-0000F8030000}"/>
    <cellStyle name="Balance Sheet" xfId="1035" xr:uid="{00000000-0005-0000-0000-0000F9030000}"/>
    <cellStyle name="BalanceSheet" xfId="1036" xr:uid="{00000000-0005-0000-0000-0000FA030000}"/>
    <cellStyle name="Band 2" xfId="1037" xr:uid="{00000000-0005-0000-0000-0000FB030000}"/>
    <cellStyle name="Bank1" xfId="1038" xr:uid="{00000000-0005-0000-0000-0000FC030000}"/>
    <cellStyle name="BAS Comma [0]" xfId="1039" xr:uid="{00000000-0005-0000-0000-0000FD030000}"/>
    <cellStyle name="BAS Comma [1]" xfId="1040" xr:uid="{00000000-0005-0000-0000-0000FE030000}"/>
    <cellStyle name="BAS Currency [0]" xfId="1041" xr:uid="{00000000-0005-0000-0000-0000FF030000}"/>
    <cellStyle name="BAS Currency [1]" xfId="1042" xr:uid="{00000000-0005-0000-0000-000000040000}"/>
    <cellStyle name="BAS Currency [2]" xfId="1043" xr:uid="{00000000-0005-0000-0000-000001040000}"/>
    <cellStyle name="BAS Multiple [1]" xfId="1044" xr:uid="{00000000-0005-0000-0000-000002040000}"/>
    <cellStyle name="BAS Percent Actual [1]" xfId="1045" xr:uid="{00000000-0005-0000-0000-000003040000}"/>
    <cellStyle name="Basic" xfId="1046" xr:uid="{00000000-0005-0000-0000-000004040000}"/>
    <cellStyle name="BB_Date_mmm" xfId="1047" xr:uid="{00000000-0005-0000-0000-000005040000}"/>
    <cellStyle name="BLACK" xfId="1048" xr:uid="{00000000-0005-0000-0000-000006040000}"/>
    <cellStyle name="BlackStrike" xfId="1049" xr:uid="{00000000-0005-0000-0000-000007040000}"/>
    <cellStyle name="BlackText" xfId="1050" xr:uid="{00000000-0005-0000-0000-000008040000}"/>
    <cellStyle name="blank" xfId="1051" xr:uid="{00000000-0005-0000-0000-000009040000}"/>
    <cellStyle name="Blank [$]" xfId="1052" xr:uid="{00000000-0005-0000-0000-00000A040000}"/>
    <cellStyle name="Blank [%]" xfId="1053" xr:uid="{00000000-0005-0000-0000-00000B040000}"/>
    <cellStyle name="Blank [,]" xfId="1054" xr:uid="{00000000-0005-0000-0000-00000C040000}"/>
    <cellStyle name="Blank [1$]" xfId="1055" xr:uid="{00000000-0005-0000-0000-00000D040000}"/>
    <cellStyle name="Blank [1%]" xfId="1056" xr:uid="{00000000-0005-0000-0000-00000E040000}"/>
    <cellStyle name="Blank [1,]" xfId="1057" xr:uid="{00000000-0005-0000-0000-00000F040000}"/>
    <cellStyle name="Blank [2$]" xfId="1058" xr:uid="{00000000-0005-0000-0000-000010040000}"/>
    <cellStyle name="Blank [2%]" xfId="1059" xr:uid="{00000000-0005-0000-0000-000011040000}"/>
    <cellStyle name="Blank [2,]" xfId="1060" xr:uid="{00000000-0005-0000-0000-000012040000}"/>
    <cellStyle name="Blank [3$]" xfId="1061" xr:uid="{00000000-0005-0000-0000-000013040000}"/>
    <cellStyle name="Blank [3%]" xfId="1062" xr:uid="{00000000-0005-0000-0000-000014040000}"/>
    <cellStyle name="Blank [3,]" xfId="1063" xr:uid="{00000000-0005-0000-0000-000015040000}"/>
    <cellStyle name="Blank Out" xfId="1064" xr:uid="{00000000-0005-0000-0000-000016040000}"/>
    <cellStyle name="Blank_BCE Model 1-8-07" xfId="1065" xr:uid="{00000000-0005-0000-0000-000017040000}"/>
    <cellStyle name="Block Titles" xfId="1066" xr:uid="{00000000-0005-0000-0000-000018040000}"/>
    <cellStyle name="Blue" xfId="1067" xr:uid="{00000000-0005-0000-0000-000019040000}"/>
    <cellStyle name="blue shading" xfId="1068" xr:uid="{00000000-0005-0000-0000-00001A040000}"/>
    <cellStyle name="Blue Table Text" xfId="1069" xr:uid="{00000000-0005-0000-0000-00001B040000}"/>
    <cellStyle name="Blue Title" xfId="1070" xr:uid="{00000000-0005-0000-0000-00001C040000}"/>
    <cellStyle name="blue$00" xfId="1071" xr:uid="{00000000-0005-0000-0000-00001D040000}"/>
    <cellStyle name="Blue_060114 BMarkingSummary_aj v3" xfId="1072" xr:uid="{00000000-0005-0000-0000-00001E040000}"/>
    <cellStyle name="bluenodec" xfId="1073" xr:uid="{00000000-0005-0000-0000-00001F040000}"/>
    <cellStyle name="bluepercent" xfId="1074" xr:uid="{00000000-0005-0000-0000-000020040000}"/>
    <cellStyle name="Body" xfId="1075" xr:uid="{00000000-0005-0000-0000-000021040000}"/>
    <cellStyle name="Bold" xfId="1076" xr:uid="{00000000-0005-0000-0000-000022040000}"/>
    <cellStyle name="Bold/Border" xfId="1077" xr:uid="{00000000-0005-0000-0000-000023040000}"/>
    <cellStyle name="BoldText" xfId="1078" xr:uid="{00000000-0005-0000-0000-000024040000}"/>
    <cellStyle name="Border" xfId="1079" xr:uid="{00000000-0005-0000-0000-000025040000}"/>
    <cellStyle name="Border Heavy" xfId="1080" xr:uid="{00000000-0005-0000-0000-000026040000}"/>
    <cellStyle name="Border Thin" xfId="1081" xr:uid="{00000000-0005-0000-0000-000027040000}"/>
    <cellStyle name="Border, Bottom" xfId="1082" xr:uid="{00000000-0005-0000-0000-000028040000}"/>
    <cellStyle name="Border, Left" xfId="1083" xr:uid="{00000000-0005-0000-0000-000029040000}"/>
    <cellStyle name="Border, Right" xfId="1084" xr:uid="{00000000-0005-0000-0000-00002A040000}"/>
    <cellStyle name="Border, Top" xfId="1085" xr:uid="{00000000-0005-0000-0000-00002B040000}"/>
    <cellStyle name="border_BCE Model 1-8-07" xfId="1086" xr:uid="{00000000-0005-0000-0000-00002C040000}"/>
    <cellStyle name="BorderBold" xfId="1087" xr:uid="{00000000-0005-0000-0000-00002D040000}"/>
    <cellStyle name="Bottom bold border" xfId="1088" xr:uid="{00000000-0005-0000-0000-00002E040000}"/>
    <cellStyle name="Bottom Edge" xfId="1089" xr:uid="{00000000-0005-0000-0000-00002F040000}"/>
    <cellStyle name="Bottom single border" xfId="1090" xr:uid="{00000000-0005-0000-0000-000030040000}"/>
    <cellStyle name="British Pound" xfId="1091" xr:uid="{00000000-0005-0000-0000-000031040000}"/>
    <cellStyle name="bullet" xfId="1092" xr:uid="{00000000-0005-0000-0000-000032040000}"/>
    <cellStyle name="Bullet [0]" xfId="1093" xr:uid="{00000000-0005-0000-0000-000033040000}"/>
    <cellStyle name="Bullet [2]" xfId="1094" xr:uid="{00000000-0005-0000-0000-000034040000}"/>
    <cellStyle name="Bullet [4]" xfId="1095" xr:uid="{00000000-0005-0000-0000-000035040000}"/>
    <cellStyle name="Bullet_FS" xfId="1096" xr:uid="{00000000-0005-0000-0000-000036040000}"/>
    <cellStyle name="Business Description" xfId="1097" xr:uid="{00000000-0005-0000-0000-000037040000}"/>
    <cellStyle name="BvDAddIn_Currency" xfId="1098" xr:uid="{00000000-0005-0000-0000-000038040000}"/>
    <cellStyle name="c" xfId="1099" xr:uid="{00000000-0005-0000-0000-000039040000}"/>
    <cellStyle name="c_BCE Model 1-8-07" xfId="1100" xr:uid="{00000000-0005-0000-0000-00003A040000}"/>
    <cellStyle name="c_comps_1" xfId="1101" xr:uid="{00000000-0005-0000-0000-00003B040000}"/>
    <cellStyle name="C05_Style E Text" xfId="1102" xr:uid="{00000000-0005-0000-0000-00003C040000}"/>
    <cellStyle name="c3" xfId="1103" xr:uid="{00000000-0005-0000-0000-00003D040000}"/>
    <cellStyle name="Calc" xfId="1104" xr:uid="{00000000-0005-0000-0000-00003E040000}"/>
    <cellStyle name="Calc Cells" xfId="1105" xr:uid="{00000000-0005-0000-0000-00003F040000}"/>
    <cellStyle name="Calc Currency (0)" xfId="1106" xr:uid="{00000000-0005-0000-0000-000040040000}"/>
    <cellStyle name="Calc Currency (2)" xfId="1107" xr:uid="{00000000-0005-0000-0000-000041040000}"/>
    <cellStyle name="Calc Percent (0)" xfId="1108" xr:uid="{00000000-0005-0000-0000-000042040000}"/>
    <cellStyle name="Calc Percent (1)" xfId="1109" xr:uid="{00000000-0005-0000-0000-000043040000}"/>
    <cellStyle name="Calc Percent (2)" xfId="1110" xr:uid="{00000000-0005-0000-0000-000044040000}"/>
    <cellStyle name="Calc Units (0)" xfId="1111" xr:uid="{00000000-0005-0000-0000-000045040000}"/>
    <cellStyle name="Calc Units (1)" xfId="1112" xr:uid="{00000000-0005-0000-0000-000046040000}"/>
    <cellStyle name="Calc Units (2)" xfId="1113" xr:uid="{00000000-0005-0000-0000-000047040000}"/>
    <cellStyle name="Calc$" xfId="1114" xr:uid="{00000000-0005-0000-0000-000048040000}"/>
    <cellStyle name="Calc_BCE Model 1-8-07" xfId="1115" xr:uid="{00000000-0005-0000-0000-000049040000}"/>
    <cellStyle name="Calculation" xfId="1116" builtinId="22" customBuiltin="1"/>
    <cellStyle name="Caption" xfId="1117" xr:uid="{00000000-0005-0000-0000-00004B040000}"/>
    <cellStyle name="Case" xfId="1118" xr:uid="{00000000-0005-0000-0000-00004C040000}"/>
    <cellStyle name="Cash Flow Statement" xfId="1119" xr:uid="{00000000-0005-0000-0000-00004D040000}"/>
    <cellStyle name="CashFlow" xfId="1120" xr:uid="{00000000-0005-0000-0000-00004E040000}"/>
    <cellStyle name="category" xfId="1121" xr:uid="{00000000-0005-0000-0000-00004F040000}"/>
    <cellStyle name="Category Name" xfId="1122" xr:uid="{00000000-0005-0000-0000-000050040000}"/>
    <cellStyle name="center" xfId="1123" xr:uid="{00000000-0005-0000-0000-000051040000}"/>
    <cellStyle name="Center Across" xfId="1124" xr:uid="{00000000-0005-0000-0000-000052040000}"/>
    <cellStyle name="Centered Heading" xfId="1125" xr:uid="{00000000-0005-0000-0000-000053040000}"/>
    <cellStyle name="Cents" xfId="1126" xr:uid="{00000000-0005-0000-0000-000054040000}"/>
    <cellStyle name="Ch, Column Header" xfId="1127" xr:uid="{00000000-0005-0000-0000-000055040000}"/>
    <cellStyle name="Changeable" xfId="1128" xr:uid="{00000000-0005-0000-0000-000056040000}"/>
    <cellStyle name="ChartingText" xfId="1129" xr:uid="{00000000-0005-0000-0000-000057040000}"/>
    <cellStyle name="Check" xfId="1130" xr:uid="{00000000-0005-0000-0000-000058040000}"/>
    <cellStyle name="Check Cell" xfId="1131" builtinId="23" customBuiltin="1"/>
    <cellStyle name="Clean" xfId="1132" xr:uid="{00000000-0005-0000-0000-00005A040000}"/>
    <cellStyle name="Client Name" xfId="1133" xr:uid="{00000000-0005-0000-0000-00005B040000}"/>
    <cellStyle name="Co. Names" xfId="1134" xr:uid="{00000000-0005-0000-0000-00005C040000}"/>
    <cellStyle name="Co. Names - Bold" xfId="1135" xr:uid="{00000000-0005-0000-0000-00005D040000}"/>
    <cellStyle name="Co. Names_FS" xfId="1136" xr:uid="{00000000-0005-0000-0000-00005E040000}"/>
    <cellStyle name="COL HEADINGS" xfId="1137" xr:uid="{00000000-0005-0000-0000-00005F040000}"/>
    <cellStyle name="Colhead_left" xfId="1138" xr:uid="{00000000-0005-0000-0000-000060040000}"/>
    <cellStyle name="ColHeader" xfId="1139" xr:uid="{00000000-0005-0000-0000-000061040000}"/>
    <cellStyle name="ColHeading" xfId="1140" xr:uid="{00000000-0005-0000-0000-000062040000}"/>
    <cellStyle name="colheadleft" xfId="1141" xr:uid="{00000000-0005-0000-0000-000063040000}"/>
    <cellStyle name="colheadright" xfId="1142" xr:uid="{00000000-0005-0000-0000-000064040000}"/>
    <cellStyle name="Collegamento ipertestuale_PLDT" xfId="1143" xr:uid="{00000000-0005-0000-0000-000065040000}"/>
    <cellStyle name="Column Heading" xfId="1144" xr:uid="{00000000-0005-0000-0000-000066040000}"/>
    <cellStyle name="Column Headings" xfId="1145" xr:uid="{00000000-0005-0000-0000-000067040000}"/>
    <cellStyle name="column1" xfId="1146" xr:uid="{00000000-0005-0000-0000-000068040000}"/>
    <cellStyle name="column1Big" xfId="1147" xr:uid="{00000000-0005-0000-0000-000069040000}"/>
    <cellStyle name="ColumnHeaderNormal" xfId="1148" xr:uid="{00000000-0005-0000-0000-00006A040000}"/>
    <cellStyle name="ColumnHeadings" xfId="1149" xr:uid="{00000000-0005-0000-0000-00006B040000}"/>
    <cellStyle name="ColumnHeadings2" xfId="1150" xr:uid="{00000000-0005-0000-0000-00006C040000}"/>
    <cellStyle name="coma" xfId="1151" xr:uid="{00000000-0005-0000-0000-00006D040000}"/>
    <cellStyle name="comm" xfId="1152" xr:uid="{00000000-0005-0000-0000-00006E040000}"/>
    <cellStyle name="Comma  - Style1" xfId="1153" xr:uid="{00000000-0005-0000-0000-00006F040000}"/>
    <cellStyle name="Comma  - Style2" xfId="1154" xr:uid="{00000000-0005-0000-0000-000070040000}"/>
    <cellStyle name="Comma  - Style3" xfId="1155" xr:uid="{00000000-0005-0000-0000-000071040000}"/>
    <cellStyle name="Comma  - Style4" xfId="1156" xr:uid="{00000000-0005-0000-0000-000072040000}"/>
    <cellStyle name="Comma  - Style5" xfId="1157" xr:uid="{00000000-0005-0000-0000-000073040000}"/>
    <cellStyle name="Comma  - Style6" xfId="1158" xr:uid="{00000000-0005-0000-0000-000074040000}"/>
    <cellStyle name="Comma  - Style7" xfId="1159" xr:uid="{00000000-0005-0000-0000-000075040000}"/>
    <cellStyle name="Comma  - Style8" xfId="1160" xr:uid="{00000000-0005-0000-0000-000076040000}"/>
    <cellStyle name="Comma (0)" xfId="1161" xr:uid="{00000000-0005-0000-0000-000077040000}"/>
    <cellStyle name="Comma (1)" xfId="1162" xr:uid="{00000000-0005-0000-0000-000078040000}"/>
    <cellStyle name="Comma ," xfId="1163" xr:uid="{00000000-0005-0000-0000-000079040000}"/>
    <cellStyle name="Comma [0] Total" xfId="1164" xr:uid="{00000000-0005-0000-0000-00007A040000}"/>
    <cellStyle name="Comma [00]" xfId="1165" xr:uid="{00000000-0005-0000-0000-00007B040000}"/>
    <cellStyle name="Comma [1]" xfId="1166" xr:uid="{00000000-0005-0000-0000-00007C040000}"/>
    <cellStyle name="Comma [1] Total" xfId="1167" xr:uid="{00000000-0005-0000-0000-00007D040000}"/>
    <cellStyle name="Comma [1]_060114 BMarkingSummary_aj v3" xfId="1168" xr:uid="{00000000-0005-0000-0000-00007E040000}"/>
    <cellStyle name="Comma [2]" xfId="1169" xr:uid="{00000000-0005-0000-0000-00007F040000}"/>
    <cellStyle name="Comma [2] Total" xfId="1170" xr:uid="{00000000-0005-0000-0000-000080040000}"/>
    <cellStyle name="Comma [2]_3.33.Data" xfId="1171" xr:uid="{00000000-0005-0000-0000-000081040000}"/>
    <cellStyle name="Comma [3]" xfId="1172" xr:uid="{00000000-0005-0000-0000-000082040000}"/>
    <cellStyle name="Comma 0" xfId="1173" xr:uid="{00000000-0005-0000-0000-000083040000}"/>
    <cellStyle name="Comma 0*" xfId="1174" xr:uid="{00000000-0005-0000-0000-000084040000}"/>
    <cellStyle name="Comma 0_!MiniCombo_v081(vclk)" xfId="1175" xr:uid="{00000000-0005-0000-0000-000085040000}"/>
    <cellStyle name="Comma 2" xfId="1176" xr:uid="{00000000-0005-0000-0000-000086040000}"/>
    <cellStyle name="Comma 2*" xfId="1177" xr:uid="{00000000-0005-0000-0000-000087040000}"/>
    <cellStyle name="Comma 2_!MiniCombo_v081(vclk)" xfId="1178" xr:uid="{00000000-0005-0000-0000-000088040000}"/>
    <cellStyle name="comma 3" xfId="1179" xr:uid="{00000000-0005-0000-0000-000089040000}"/>
    <cellStyle name="Comma 3*" xfId="1180" xr:uid="{00000000-0005-0000-0000-00008A040000}"/>
    <cellStyle name="Comma Cents" xfId="1181" xr:uid="{00000000-0005-0000-0000-00008B040000}"/>
    <cellStyle name="comma zerodec" xfId="1182" xr:uid="{00000000-0005-0000-0000-00008C040000}"/>
    <cellStyle name="Comma*" xfId="1183" xr:uid="{00000000-0005-0000-0000-00008D040000}"/>
    <cellStyle name="Comma, 0 Dec, Parens, Zero -" xfId="1184" xr:uid="{00000000-0005-0000-0000-00008E040000}"/>
    <cellStyle name="Comma, 1 dec" xfId="1185" xr:uid="{00000000-0005-0000-0000-00008F040000}"/>
    <cellStyle name="Comma0" xfId="1186" xr:uid="{00000000-0005-0000-0000-000090040000}"/>
    <cellStyle name="Comma0 - Modelo1" xfId="1187" xr:uid="{00000000-0005-0000-0000-000091040000}"/>
    <cellStyle name="Comma0 - Style1" xfId="1188" xr:uid="{00000000-0005-0000-0000-000092040000}"/>
    <cellStyle name="Comma0_3.33.Data" xfId="1189" xr:uid="{00000000-0005-0000-0000-000093040000}"/>
    <cellStyle name="Comma0x" xfId="1190" xr:uid="{00000000-0005-0000-0000-000094040000}"/>
    <cellStyle name="Comma1" xfId="1191" xr:uid="{00000000-0005-0000-0000-000095040000}"/>
    <cellStyle name="Comma1 - Modelo2" xfId="1192" xr:uid="{00000000-0005-0000-0000-000096040000}"/>
    <cellStyle name="Comma1 - Style2" xfId="1193" xr:uid="{00000000-0005-0000-0000-000097040000}"/>
    <cellStyle name="Comma1_3.33.Data" xfId="1194" xr:uid="{00000000-0005-0000-0000-000098040000}"/>
    <cellStyle name="Comma1x" xfId="1195" xr:uid="{00000000-0005-0000-0000-000099040000}"/>
    <cellStyle name="Comma2" xfId="1196" xr:uid="{00000000-0005-0000-0000-00009A040000}"/>
    <cellStyle name="Comma2x" xfId="1197" xr:uid="{00000000-0005-0000-0000-00009B040000}"/>
    <cellStyle name="Comma3" xfId="1198" xr:uid="{00000000-0005-0000-0000-00009C040000}"/>
    <cellStyle name="Comma3x" xfId="1199" xr:uid="{00000000-0005-0000-0000-00009D040000}"/>
    <cellStyle name="Comma4" xfId="1200" xr:uid="{00000000-0005-0000-0000-00009E040000}"/>
    <cellStyle name="Comma4x" xfId="1201" xr:uid="{00000000-0005-0000-0000-00009F040000}"/>
    <cellStyle name="CommaKM" xfId="1202" xr:uid="{00000000-0005-0000-0000-0000A0040000}"/>
    <cellStyle name="Comma-Rounded" xfId="1203" xr:uid="{00000000-0005-0000-0000-0000A1040000}"/>
    <cellStyle name="commas" xfId="1204" xr:uid="{00000000-0005-0000-0000-0000A2040000}"/>
    <cellStyle name="Comment" xfId="1205" xr:uid="{00000000-0005-0000-0000-0000A3040000}"/>
    <cellStyle name="Company" xfId="1206" xr:uid="{00000000-0005-0000-0000-0000A4040000}"/>
    <cellStyle name="Company Name" xfId="1207" xr:uid="{00000000-0005-0000-0000-0000A5040000}"/>
    <cellStyle name="CompanyName" xfId="1208" xr:uid="{00000000-0005-0000-0000-0000A6040000}"/>
    <cellStyle name="Copied" xfId="1209" xr:uid="{00000000-0005-0000-0000-0000A7040000}"/>
    <cellStyle name="Cost" xfId="1210" xr:uid="{00000000-0005-0000-0000-0000A8040000}"/>
    <cellStyle name="Cover Date" xfId="1211" xr:uid="{00000000-0005-0000-0000-0000A9040000}"/>
    <cellStyle name="Cover Subtitle" xfId="1212" xr:uid="{00000000-0005-0000-0000-0000AA040000}"/>
    <cellStyle name="Cover Title" xfId="1213" xr:uid="{00000000-0005-0000-0000-0000AB040000}"/>
    <cellStyle name="COVERAGE" xfId="1214" xr:uid="{00000000-0005-0000-0000-0000AC040000}"/>
    <cellStyle name="cpmma" xfId="1215" xr:uid="{00000000-0005-0000-0000-0000AD040000}"/>
    <cellStyle name="Cur" xfId="1216" xr:uid="{00000000-0005-0000-0000-0000AE040000}"/>
    <cellStyle name="CurRatio" xfId="1217" xr:uid="{00000000-0005-0000-0000-0000AF040000}"/>
    <cellStyle name="Currency ($)" xfId="1218" xr:uid="{00000000-0005-0000-0000-0000B0040000}"/>
    <cellStyle name="Currency (£)" xfId="1219" xr:uid="{00000000-0005-0000-0000-0000B1040000}"/>
    <cellStyle name="Currency (€)" xfId="1220" xr:uid="{00000000-0005-0000-0000-0000B2040000}"/>
    <cellStyle name="Currency (3)" xfId="1221" xr:uid="{00000000-0005-0000-0000-0000B3040000}"/>
    <cellStyle name="Currency [0] Total" xfId="1222" xr:uid="{00000000-0005-0000-0000-0000B4040000}"/>
    <cellStyle name="Currency [00]" xfId="1223" xr:uid="{00000000-0005-0000-0000-0000B5040000}"/>
    <cellStyle name="Currency [1]" xfId="1224" xr:uid="{00000000-0005-0000-0000-0000B6040000}"/>
    <cellStyle name="Currency [1] Total" xfId="1225" xr:uid="{00000000-0005-0000-0000-0000B7040000}"/>
    <cellStyle name="Currency [1]_BCE Model 1-8-07" xfId="1226" xr:uid="{00000000-0005-0000-0000-0000B8040000}"/>
    <cellStyle name="Currency [2]" xfId="1227" xr:uid="{00000000-0005-0000-0000-0000B9040000}"/>
    <cellStyle name="Currency [2] Total" xfId="1228" xr:uid="{00000000-0005-0000-0000-0000BA040000}"/>
    <cellStyle name="Currency [2]_BCE Model 1-8-07" xfId="1229" xr:uid="{00000000-0005-0000-0000-0000BB040000}"/>
    <cellStyle name="Currency [3]" xfId="1230" xr:uid="{00000000-0005-0000-0000-0000BC040000}"/>
    <cellStyle name="Currency [per_share]" xfId="1231" xr:uid="{00000000-0005-0000-0000-0000BD040000}"/>
    <cellStyle name="Currency 0" xfId="1232" xr:uid="{00000000-0005-0000-0000-0000BE040000}"/>
    <cellStyle name="Currency 0.0" xfId="1233" xr:uid="{00000000-0005-0000-0000-0000BF040000}"/>
    <cellStyle name="Currency 0_060114 BMarkingSummary_aj v3" xfId="1234" xr:uid="{00000000-0005-0000-0000-0000C0040000}"/>
    <cellStyle name="currency 1" xfId="1235" xr:uid="{00000000-0005-0000-0000-0000C1040000}"/>
    <cellStyle name="Currency 2" xfId="1236" xr:uid="{00000000-0005-0000-0000-0000C2040000}"/>
    <cellStyle name="Currency 2 Total" xfId="1237" xr:uid="{00000000-0005-0000-0000-0000C3040000}"/>
    <cellStyle name="Currency 2*" xfId="1238" xr:uid="{00000000-0005-0000-0000-0000C4040000}"/>
    <cellStyle name="Currency 2_!MiniCombo_v081(vclk)" xfId="1239" xr:uid="{00000000-0005-0000-0000-0000C5040000}"/>
    <cellStyle name="Currency 3" xfId="1729" xr:uid="{9328FB59-4296-4885-8594-73C9984569D4}"/>
    <cellStyle name="Currency 3*" xfId="1240" xr:uid="{00000000-0005-0000-0000-0000C6040000}"/>
    <cellStyle name="Currency Input" xfId="1241" xr:uid="{00000000-0005-0000-0000-0000C7040000}"/>
    <cellStyle name="Currency Per Share" xfId="1242" xr:uid="{00000000-0005-0000-0000-0000C8040000}"/>
    <cellStyle name="Currency*" xfId="1243" xr:uid="{00000000-0005-0000-0000-0000C9040000}"/>
    <cellStyle name="Currency0" xfId="1244" xr:uid="{00000000-0005-0000-0000-0000CA040000}"/>
    <cellStyle name="Currency1" xfId="1245" xr:uid="{00000000-0005-0000-0000-0000CB040000}"/>
    <cellStyle name="Currency1Blue" xfId="1246" xr:uid="{00000000-0005-0000-0000-0000CC040000}"/>
    <cellStyle name="Currency2" xfId="1247" xr:uid="{00000000-0005-0000-0000-0000CD040000}"/>
    <cellStyle name="Currency3" xfId="1248" xr:uid="{00000000-0005-0000-0000-0000CE040000}"/>
    <cellStyle name="Currency-Rounded" xfId="1249" xr:uid="{00000000-0005-0000-0000-0000CF040000}"/>
    <cellStyle name="currencyt 0" xfId="1250" xr:uid="{00000000-0005-0000-0000-0000D0040000}"/>
    <cellStyle name="Currsmall" xfId="1251" xr:uid="{00000000-0005-0000-0000-0000D1040000}"/>
    <cellStyle name="d" xfId="1252" xr:uid="{00000000-0005-0000-0000-0000D2040000}"/>
    <cellStyle name="d_101306 CanWest Excel BAck up v14" xfId="1253" xr:uid="{00000000-0005-0000-0000-0000D3040000}"/>
    <cellStyle name="d_BCE Model 1-8-07" xfId="1254" xr:uid="{00000000-0005-0000-0000-0000D4040000}"/>
    <cellStyle name="d_Eutelsat and Capex Analysis" xfId="1255" xr:uid="{00000000-0005-0000-0000-0000D5040000}"/>
    <cellStyle name="d_Ford DCF 072101" xfId="1256" xr:uid="{00000000-0005-0000-0000-0000D6040000}"/>
    <cellStyle name="d_yield" xfId="1257" xr:uid="{00000000-0005-0000-0000-0000D7040000}"/>
    <cellStyle name="d_yield_101306 CanWest Excel BAck up v14" xfId="1258" xr:uid="{00000000-0005-0000-0000-0000D8040000}"/>
    <cellStyle name="d_yield_ILEC LBO" xfId="1259" xr:uid="{00000000-0005-0000-0000-0000D9040000}"/>
    <cellStyle name="d_yield_Sheet1" xfId="1260" xr:uid="{00000000-0005-0000-0000-0000DA040000}"/>
    <cellStyle name="Dash" xfId="1261" xr:uid="{00000000-0005-0000-0000-0000DB040000}"/>
    <cellStyle name="data" xfId="1262" xr:uid="{00000000-0005-0000-0000-0000DC040000}"/>
    <cellStyle name="Data Link" xfId="1263" xr:uid="{00000000-0005-0000-0000-0000DD040000}"/>
    <cellStyle name="data_FS" xfId="1264" xr:uid="{00000000-0005-0000-0000-0000DE040000}"/>
    <cellStyle name="Date" xfId="1265" xr:uid="{00000000-0005-0000-0000-0000DF040000}"/>
    <cellStyle name="Date (d/mm/yy)" xfId="1266" xr:uid="{00000000-0005-0000-0000-0000E0040000}"/>
    <cellStyle name="Date (d-mm-yy)" xfId="1267" xr:uid="{00000000-0005-0000-0000-0000E1040000}"/>
    <cellStyle name="Date (Full)" xfId="1268" xr:uid="{00000000-0005-0000-0000-0000E2040000}"/>
    <cellStyle name="Date [Abbreviated]" xfId="1269" xr:uid="{00000000-0005-0000-0000-0000E3040000}"/>
    <cellStyle name="Date [D-M-Y]" xfId="1270" xr:uid="{00000000-0005-0000-0000-0000E4040000}"/>
    <cellStyle name="Date [Long Europe]" xfId="1271" xr:uid="{00000000-0005-0000-0000-0000E5040000}"/>
    <cellStyle name="Date [Long U.S.]" xfId="1272" xr:uid="{00000000-0005-0000-0000-0000E6040000}"/>
    <cellStyle name="Date [M/D/Y]" xfId="1273" xr:uid="{00000000-0005-0000-0000-0000E7040000}"/>
    <cellStyle name="Date [M/Y]" xfId="1274" xr:uid="{00000000-0005-0000-0000-0000E8040000}"/>
    <cellStyle name="Date [mmm-yy]" xfId="1275" xr:uid="{00000000-0005-0000-0000-0000E9040000}"/>
    <cellStyle name="Date [M-Y]" xfId="1276" xr:uid="{00000000-0005-0000-0000-0000EA040000}"/>
    <cellStyle name="Date [Short Europe]" xfId="1277" xr:uid="{00000000-0005-0000-0000-0000EB040000}"/>
    <cellStyle name="Date [Short U.S.]" xfId="1278" xr:uid="{00000000-0005-0000-0000-0000EC040000}"/>
    <cellStyle name="Date Aligned" xfId="1279" xr:uid="{00000000-0005-0000-0000-0000ED040000}"/>
    <cellStyle name="Date Aligned*" xfId="1280" xr:uid="{00000000-0005-0000-0000-0000EE040000}"/>
    <cellStyle name="Date Aligned_!MiniCombo_v081(vclk)" xfId="1281" xr:uid="{00000000-0005-0000-0000-0000EF040000}"/>
    <cellStyle name="Date Day" xfId="1282" xr:uid="{00000000-0005-0000-0000-0000F0040000}"/>
    <cellStyle name="Date m/d/yy" xfId="1283" xr:uid="{00000000-0005-0000-0000-0000F1040000}"/>
    <cellStyle name="Date Short" xfId="1284" xr:uid="{00000000-0005-0000-0000-0000F2040000}"/>
    <cellStyle name="Date Year" xfId="1285" xr:uid="{00000000-0005-0000-0000-0000F3040000}"/>
    <cellStyle name="Date_060114 BMarkingSummary_aj v3" xfId="1286" xr:uid="{00000000-0005-0000-0000-0000F4040000}"/>
    <cellStyle name="Date1" xfId="1287" xr:uid="{00000000-0005-0000-0000-0000F5040000}"/>
    <cellStyle name="date2" xfId="1288" xr:uid="{00000000-0005-0000-0000-0000F6040000}"/>
    <cellStyle name="date3" xfId="1289" xr:uid="{00000000-0005-0000-0000-0000F7040000}"/>
    <cellStyle name="Dates" xfId="1290" xr:uid="{00000000-0005-0000-0000-0000F8040000}"/>
    <cellStyle name="DateYear" xfId="1291" xr:uid="{00000000-0005-0000-0000-0000F9040000}"/>
    <cellStyle name="DateYearEstimate" xfId="1292" xr:uid="{00000000-0005-0000-0000-0000FA040000}"/>
    <cellStyle name="DateYearWholeEstimate" xfId="1293" xr:uid="{00000000-0005-0000-0000-0000FB040000}"/>
    <cellStyle name="Days.0" xfId="1294" xr:uid="{00000000-0005-0000-0000-0000FC040000}"/>
    <cellStyle name="Days.1" xfId="1295" xr:uid="{00000000-0005-0000-0000-0000FD040000}"/>
    <cellStyle name="DblLineDollarAcct" xfId="1296" xr:uid="{00000000-0005-0000-0000-0000FE040000}"/>
    <cellStyle name="DblLinePercent" xfId="1297" xr:uid="{00000000-0005-0000-0000-0000FF040000}"/>
    <cellStyle name="ddate" xfId="1298" xr:uid="{00000000-0005-0000-0000-000000050000}"/>
    <cellStyle name="Decimal" xfId="1299" xr:uid="{00000000-0005-0000-0000-000001050000}"/>
    <cellStyle name="default" xfId="1300" xr:uid="{00000000-0005-0000-0000-000002050000}"/>
    <cellStyle name="defaultStyle" xfId="1719" xr:uid="{378A6511-E8A5-4B37-B360-2DBE984DE817}"/>
    <cellStyle name="Detail" xfId="1301" xr:uid="{00000000-0005-0000-0000-000003050000}"/>
    <cellStyle name="Deutschmark" xfId="1302" xr:uid="{00000000-0005-0000-0000-000004050000}"/>
    <cellStyle name="Dezimal__Utopia Index Index und Guidance (Deutsch)" xfId="1303" xr:uid="{00000000-0005-0000-0000-000005050000}"/>
    <cellStyle name="Dia" xfId="1304" xr:uid="{00000000-0005-0000-0000-000006050000}"/>
    <cellStyle name="DIANE" xfId="1305" xr:uid="{00000000-0005-0000-0000-000007050000}"/>
    <cellStyle name="dolar" xfId="1306" xr:uid="{00000000-0005-0000-0000-000008050000}"/>
    <cellStyle name="dolar whole" xfId="1307" xr:uid="{00000000-0005-0000-0000-000009050000}"/>
    <cellStyle name="dolar_ATT LBO Model 07-02-04v1" xfId="1308" xr:uid="{00000000-0005-0000-0000-00000A050000}"/>
    <cellStyle name="Dollar" xfId="1309" xr:uid="{00000000-0005-0000-0000-00000B050000}"/>
    <cellStyle name="Dollar - Style5" xfId="1310" xr:uid="{00000000-0005-0000-0000-00000C050000}"/>
    <cellStyle name="Dollar (Canadian)" xfId="1311" xr:uid="{00000000-0005-0000-0000-00000D050000}"/>
    <cellStyle name="Dollar (zero dec)" xfId="1312" xr:uid="{00000000-0005-0000-0000-00000E050000}"/>
    <cellStyle name="Dollar Whole" xfId="1313" xr:uid="{00000000-0005-0000-0000-00000F050000}"/>
    <cellStyle name="dollar_051129 DCF Summary" xfId="1314" xr:uid="{00000000-0005-0000-0000-000010050000}"/>
    <cellStyle name="Dollar1" xfId="1315" xr:uid="{00000000-0005-0000-0000-000011050000}"/>
    <cellStyle name="Dollar1Blue" xfId="1316" xr:uid="{00000000-0005-0000-0000-000012050000}"/>
    <cellStyle name="Dollar2" xfId="1317" xr:uid="{00000000-0005-0000-0000-000013050000}"/>
    <cellStyle name="DollarAccounting" xfId="1318" xr:uid="{00000000-0005-0000-0000-000014050000}"/>
    <cellStyle name="Dollars" xfId="1319" xr:uid="{00000000-0005-0000-0000-000015050000}"/>
    <cellStyle name="DollarWhole" xfId="1320" xr:uid="{00000000-0005-0000-0000-000016050000}"/>
    <cellStyle name="Doller" xfId="1321" xr:uid="{00000000-0005-0000-0000-000017050000}"/>
    <cellStyle name="Dotted Line" xfId="1323" xr:uid="{00000000-0005-0000-0000-000018050000}"/>
    <cellStyle name="Double Accounting" xfId="1324" xr:uid="{00000000-0005-0000-0000-000019050000}"/>
    <cellStyle name="Double Underline" xfId="1325" xr:uid="{00000000-0005-0000-0000-00001A050000}"/>
    <cellStyle name="Download" xfId="1326" xr:uid="{00000000-0005-0000-0000-00001B050000}"/>
    <cellStyle name="dp*NumberGeneral" xfId="1327" xr:uid="{00000000-0005-0000-0000-00001C050000}"/>
    <cellStyle name="Driver" xfId="1328" xr:uid="{00000000-0005-0000-0000-00001D050000}"/>
    <cellStyle name="Encabez1" xfId="1329" xr:uid="{00000000-0005-0000-0000-00001E050000}"/>
    <cellStyle name="Encabez2" xfId="1330" xr:uid="{00000000-0005-0000-0000-00001F050000}"/>
    <cellStyle name="Enter Currency (0)" xfId="1331" xr:uid="{00000000-0005-0000-0000-000020050000}"/>
    <cellStyle name="Enter Currency (2)" xfId="1332" xr:uid="{00000000-0005-0000-0000-000021050000}"/>
    <cellStyle name="Enter Units (0)" xfId="1333" xr:uid="{00000000-0005-0000-0000-000022050000}"/>
    <cellStyle name="Enter Units (1)" xfId="1334" xr:uid="{00000000-0005-0000-0000-000023050000}"/>
    <cellStyle name="Enter Units (2)" xfId="1335" xr:uid="{00000000-0005-0000-0000-000024050000}"/>
    <cellStyle name="Entered" xfId="1336" xr:uid="{00000000-0005-0000-0000-000025050000}"/>
    <cellStyle name="Entries" xfId="1337" xr:uid="{00000000-0005-0000-0000-000026050000}"/>
    <cellStyle name="eps" xfId="1338" xr:uid="{00000000-0005-0000-0000-000027050000}"/>
    <cellStyle name="eps$" xfId="1339" xr:uid="{00000000-0005-0000-0000-000028050000}"/>
    <cellStyle name="eps$A" xfId="1340" xr:uid="{00000000-0005-0000-0000-000029050000}"/>
    <cellStyle name="eps$E" xfId="1341" xr:uid="{00000000-0005-0000-0000-00002A050000}"/>
    <cellStyle name="eps_101306 CanWest Excel BAck up v14" xfId="1342" xr:uid="{00000000-0005-0000-0000-00002B050000}"/>
    <cellStyle name="epsA" xfId="1343" xr:uid="{00000000-0005-0000-0000-00002C050000}"/>
    <cellStyle name="EPSActual" xfId="1344" xr:uid="{00000000-0005-0000-0000-00002D050000}"/>
    <cellStyle name="epsE" xfId="1345" xr:uid="{00000000-0005-0000-0000-00002E050000}"/>
    <cellStyle name="EPSEstimate" xfId="1346" xr:uid="{00000000-0005-0000-0000-00002F050000}"/>
    <cellStyle name="Equity research inputs" xfId="1347" xr:uid="{00000000-0005-0000-0000-000030050000}"/>
    <cellStyle name="Est - $" xfId="1348" xr:uid="{00000000-0005-0000-0000-000031050000}"/>
    <cellStyle name="Est - %" xfId="1349" xr:uid="{00000000-0005-0000-0000-000032050000}"/>
    <cellStyle name="Est 0,000.0" xfId="1350" xr:uid="{00000000-0005-0000-0000-000033050000}"/>
    <cellStyle name="Estimate" xfId="1351" xr:uid="{00000000-0005-0000-0000-000034050000}"/>
    <cellStyle name="Euro" xfId="1352" xr:uid="{00000000-0005-0000-0000-000035050000}"/>
    <cellStyle name="Euro-" xfId="1353" xr:uid="{00000000-0005-0000-0000-000036050000}"/>
    <cellStyle name="Euro_Ch06_Pics" xfId="1354" xr:uid="{00000000-0005-0000-0000-000037050000}"/>
    <cellStyle name="Euro-_Contribution analysis" xfId="1355" xr:uid="{00000000-0005-0000-0000-000038050000}"/>
    <cellStyle name="Euro_DCF" xfId="1356" xr:uid="{00000000-0005-0000-0000-000039050000}"/>
    <cellStyle name="Euro-_DCF" xfId="1357" xr:uid="{00000000-0005-0000-0000-00003A050000}"/>
    <cellStyle name="Euro_FS" xfId="1358" xr:uid="{00000000-0005-0000-0000-00003B050000}"/>
    <cellStyle name="Euro-_LBO - 5dny0912" xfId="1359" xr:uid="{00000000-0005-0000-0000-00003C050000}"/>
    <cellStyle name="Euro_Light BP Comps Final" xfId="1360" xr:uid="{00000000-0005-0000-0000-00003D050000}"/>
    <cellStyle name="Euro-_Model output pages" xfId="1361" xr:uid="{00000000-0005-0000-0000-00003E050000}"/>
    <cellStyle name="Euro_Project Horseshoe - Merger Model (May 2006) v.33 (DRAFT)" xfId="1362" xr:uid="{00000000-0005-0000-0000-00003F050000}"/>
    <cellStyle name="Euro-_Project Horseshoe - Merger Model (May 2006) v.33 (DRAFT)" xfId="1363" xr:uid="{00000000-0005-0000-0000-000040050000}"/>
    <cellStyle name="Euro_Spider LBO" xfId="1364" xr:uid="{00000000-0005-0000-0000-000041050000}"/>
    <cellStyle name="Euro-_Spider LBO" xfId="1365" xr:uid="{00000000-0005-0000-0000-000042050000}"/>
    <cellStyle name="Euro_Valuation Template Summary (v.5)" xfId="1366" xr:uid="{00000000-0005-0000-0000-000043050000}"/>
    <cellStyle name="Euro-_Valuation Template Summary (v.5)" xfId="1367" xr:uid="{00000000-0005-0000-0000-000044050000}"/>
    <cellStyle name="Euro_WACC - 5dny0907" xfId="1368" xr:uid="{00000000-0005-0000-0000-000045050000}"/>
    <cellStyle name="Euro-_WACC - 5dny0907" xfId="1369" xr:uid="{00000000-0005-0000-0000-000046050000}"/>
    <cellStyle name="Explanatory Text" xfId="1370" builtinId="53" customBuiltin="1"/>
    <cellStyle name="External File Cells" xfId="1371" xr:uid="{00000000-0005-0000-0000-000048050000}"/>
    <cellStyle name="EY0dp" xfId="1372" xr:uid="{00000000-0005-0000-0000-000049050000}"/>
    <cellStyle name="F2" xfId="1373" xr:uid="{00000000-0005-0000-0000-00004A050000}"/>
    <cellStyle name="F3" xfId="1374" xr:uid="{00000000-0005-0000-0000-00004B050000}"/>
    <cellStyle name="F4" xfId="1375" xr:uid="{00000000-0005-0000-0000-00004C050000}"/>
    <cellStyle name="F5" xfId="1376" xr:uid="{00000000-0005-0000-0000-00004D050000}"/>
    <cellStyle name="F6" xfId="1377" xr:uid="{00000000-0005-0000-0000-00004E050000}"/>
    <cellStyle name="F7" xfId="1378" xr:uid="{00000000-0005-0000-0000-00004F050000}"/>
    <cellStyle name="F8" xfId="1379" xr:uid="{00000000-0005-0000-0000-000050050000}"/>
    <cellStyle name="FF_EURO" xfId="1380" xr:uid="{00000000-0005-0000-0000-000051050000}"/>
    <cellStyle name="FieldName" xfId="1381" xr:uid="{00000000-0005-0000-0000-000052050000}"/>
    <cellStyle name="Fijo" xfId="1382" xr:uid="{00000000-0005-0000-0000-000053050000}"/>
    <cellStyle name="Finan?ní0" xfId="1383" xr:uid="{00000000-0005-0000-0000-000054050000}"/>
    <cellStyle name="Financiero" xfId="1384" xr:uid="{00000000-0005-0000-0000-000055050000}"/>
    <cellStyle name="Fixed" xfId="1385" xr:uid="{00000000-0005-0000-0000-000056050000}"/>
    <cellStyle name="Fixed [0]" xfId="1386" xr:uid="{00000000-0005-0000-0000-000057050000}"/>
    <cellStyle name="Fixed0" xfId="1387" xr:uid="{00000000-0005-0000-0000-000058050000}"/>
    <cellStyle name="Fixlong" xfId="1388" xr:uid="{00000000-0005-0000-0000-000059050000}"/>
    <cellStyle name="fontSize10HorizontalRight" xfId="1728" xr:uid="{6744F02E-D6EC-4026-BF1F-AB9BFBBE63E0}"/>
    <cellStyle name="fontSize10HorizontalRightBold" xfId="1726" xr:uid="{141C9B52-9A07-4A16-BC6F-F516BA7A97A1}"/>
    <cellStyle name="fontSize10Indent" xfId="1727" xr:uid="{5138C2B0-2D3F-4A1E-9665-D3DEECA21F63}"/>
    <cellStyle name="fontSize10IndentBold" xfId="1725" xr:uid="{9B472C47-1F28-46DF-B0C4-66B2749DB615}"/>
    <cellStyle name="fontSize10VerticalTopHorizontalRightWrapBold" xfId="1721" xr:uid="{4DE515B9-EEA3-472A-A446-A0A54AAC4CCA}"/>
    <cellStyle name="fontSize10VerticalTopHorizontalRightWrapHyperlinkBoldUnderlineSingle" xfId="1722" xr:uid="{09B9FA21-C537-4BF6-B1B6-C49085351015}"/>
    <cellStyle name="fontSize14BoldItalic" xfId="1718" xr:uid="{86B989C8-07C3-4775-91BD-ED81D46529C2}"/>
    <cellStyle name="fontSize16BoldVerticalBottom" xfId="1720" xr:uid="{774E2E21-DA72-46B7-B6D2-1334BA877E10}"/>
    <cellStyle name="Footer SBILogo1" xfId="1389" xr:uid="{00000000-0005-0000-0000-00005A050000}"/>
    <cellStyle name="Footer SBILogo2" xfId="1390" xr:uid="{00000000-0005-0000-0000-00005B050000}"/>
    <cellStyle name="Footnote" xfId="1391" xr:uid="{00000000-0005-0000-0000-00005C050000}"/>
    <cellStyle name="Footnote Reference" xfId="1392" xr:uid="{00000000-0005-0000-0000-00005D050000}"/>
    <cellStyle name="Footnote_% Change" xfId="1393" xr:uid="{00000000-0005-0000-0000-00005E050000}"/>
    <cellStyle name="Footnotes" xfId="1394" xr:uid="{00000000-0005-0000-0000-00005F050000}"/>
    <cellStyle name="Forecast Cells" xfId="1395" xr:uid="{00000000-0005-0000-0000-000060050000}"/>
    <cellStyle name="Format ($)" xfId="1396" xr:uid="{00000000-0005-0000-0000-000061050000}"/>
    <cellStyle name="Format (no $ no underline)" xfId="1397" xr:uid="{00000000-0005-0000-0000-000062050000}"/>
    <cellStyle name="Format (no $ underline)" xfId="1398" xr:uid="{00000000-0005-0000-0000-000063050000}"/>
    <cellStyle name="Format (no $)" xfId="1399" xr:uid="{00000000-0005-0000-0000-000064050000}"/>
    <cellStyle name="Format underline (no $)" xfId="1400" xr:uid="{00000000-0005-0000-0000-000065050000}"/>
    <cellStyle name="Formula" xfId="1401" xr:uid="{00000000-0005-0000-0000-000066050000}"/>
    <cellStyle name="fourdecplace" xfId="1402" xr:uid="{00000000-0005-0000-0000-000067050000}"/>
    <cellStyle name="Fraction" xfId="1403" xr:uid="{00000000-0005-0000-0000-000068050000}"/>
    <cellStyle name="Fraction ($)" xfId="1404" xr:uid="{00000000-0005-0000-0000-000069050000}"/>
    <cellStyle name="Fraction [8]" xfId="1405" xr:uid="{00000000-0005-0000-0000-00006A050000}"/>
    <cellStyle name="Fraction [Bl]" xfId="1406" xr:uid="{00000000-0005-0000-0000-00006B050000}"/>
    <cellStyle name="French Francs" xfId="1407" xr:uid="{00000000-0005-0000-0000-00006C050000}"/>
    <cellStyle name="fy_eps$" xfId="1408" xr:uid="{00000000-0005-0000-0000-00006D050000}"/>
    <cellStyle name="g_rate" xfId="1409" xr:uid="{00000000-0005-0000-0000-00006E050000}"/>
    <cellStyle name="g_rate_101306 CanWest Excel BAck up v14" xfId="1410" xr:uid="{00000000-0005-0000-0000-00006F050000}"/>
    <cellStyle name="g_rate_ILEC LBO" xfId="1411" xr:uid="{00000000-0005-0000-0000-000070050000}"/>
    <cellStyle name="G02 Table Text" xfId="1412" xr:uid="{00000000-0005-0000-0000-000071050000}"/>
    <cellStyle name="G04_Main head" xfId="1413" xr:uid="{00000000-0005-0000-0000-000072050000}"/>
    <cellStyle name="G05 Tab Head Bold" xfId="1414" xr:uid="{00000000-0005-0000-0000-000073050000}"/>
    <cellStyle name="G05 Tab Head Light" xfId="1415" xr:uid="{00000000-0005-0000-0000-000074050000}"/>
    <cellStyle name="G1_1999 figures" xfId="1416" xr:uid="{00000000-0005-0000-0000-000075050000}"/>
    <cellStyle name="General" xfId="1417" xr:uid="{00000000-0005-0000-0000-000076050000}"/>
    <cellStyle name="General [C]" xfId="1418" xr:uid="{00000000-0005-0000-0000-000077050000}"/>
    <cellStyle name="General [R]" xfId="1419" xr:uid="{00000000-0005-0000-0000-000078050000}"/>
    <cellStyle name="General_060114 BMarkingSummary_aj v3" xfId="1420" xr:uid="{00000000-0005-0000-0000-000079050000}"/>
    <cellStyle name="Gilsans" xfId="1421" xr:uid="{00000000-0005-0000-0000-00007A050000}"/>
    <cellStyle name="Gilsansl" xfId="1422" xr:uid="{00000000-0005-0000-0000-00007B050000}"/>
    <cellStyle name="Good" xfId="1423" builtinId="26" customBuiltin="1"/>
    <cellStyle name="Grand" xfId="1424" xr:uid="{00000000-0005-0000-0000-00007D050000}"/>
    <cellStyle name="Grand Total" xfId="1425" xr:uid="{00000000-0005-0000-0000-00007E050000}"/>
    <cellStyle name="Green" xfId="1426" xr:uid="{00000000-0005-0000-0000-00007F050000}"/>
    <cellStyle name="Grey" xfId="1427" xr:uid="{00000000-0005-0000-0000-000080050000}"/>
    <cellStyle name="GROSS" xfId="1428" xr:uid="{00000000-0005-0000-0000-000081050000}"/>
    <cellStyle name="Group Headings" xfId="1429" xr:uid="{00000000-0005-0000-0000-000082050000}"/>
    <cellStyle name="growth" xfId="1430" xr:uid="{00000000-0005-0000-0000-000083050000}"/>
    <cellStyle name="Growth%" xfId="1431" xr:uid="{00000000-0005-0000-0000-000084050000}"/>
    <cellStyle name="GrowthLarge" xfId="1432" xr:uid="{00000000-0005-0000-0000-000085050000}"/>
    <cellStyle name="GrowthRate" xfId="1433" xr:uid="{00000000-0005-0000-0000-000086050000}"/>
    <cellStyle name="GrowthSeq" xfId="1434" xr:uid="{00000000-0005-0000-0000-000087050000}"/>
    <cellStyle name="GrowthSmall" xfId="1435" xr:uid="{00000000-0005-0000-0000-000088050000}"/>
    <cellStyle name="GS Table Header" xfId="1436" xr:uid="{00000000-0005-0000-0000-000089050000}"/>
    <cellStyle name="H 2" xfId="1437" xr:uid="{00000000-0005-0000-0000-00008A050000}"/>
    <cellStyle name="H_1998_col_head" xfId="1438" xr:uid="{00000000-0005-0000-0000-00008B050000}"/>
    <cellStyle name="H_1999_col_head" xfId="1439" xr:uid="{00000000-0005-0000-0000-00008C050000}"/>
    <cellStyle name="H1_1998 figures" xfId="1440" xr:uid="{00000000-0005-0000-0000-00008D050000}"/>
    <cellStyle name="hard no" xfId="1441" xr:uid="{00000000-0005-0000-0000-00008E050000}"/>
    <cellStyle name="hard no." xfId="1442" xr:uid="{00000000-0005-0000-0000-00008F050000}"/>
    <cellStyle name="Hard Percent" xfId="1443" xr:uid="{00000000-0005-0000-0000-000090050000}"/>
    <cellStyle name="hardno" xfId="1444" xr:uid="{00000000-0005-0000-0000-000091050000}"/>
    <cellStyle name="Head" xfId="1445" xr:uid="{00000000-0005-0000-0000-000092050000}"/>
    <cellStyle name="head1" xfId="1446" xr:uid="{00000000-0005-0000-0000-000093050000}"/>
    <cellStyle name="Head12" xfId="1447" xr:uid="{00000000-0005-0000-0000-000094050000}"/>
    <cellStyle name="head2" xfId="1448" xr:uid="{00000000-0005-0000-0000-000095050000}"/>
    <cellStyle name="Header" xfId="1449" xr:uid="{00000000-0005-0000-0000-000096050000}"/>
    <cellStyle name="Header Draft Stamp" xfId="1450" xr:uid="{00000000-0005-0000-0000-000097050000}"/>
    <cellStyle name="Header_% Change" xfId="1451" xr:uid="{00000000-0005-0000-0000-000098050000}"/>
    <cellStyle name="Header1" xfId="1452" xr:uid="{00000000-0005-0000-0000-000099050000}"/>
    <cellStyle name="Header2" xfId="1453" xr:uid="{00000000-0005-0000-0000-00009A050000}"/>
    <cellStyle name="headers" xfId="1454" xr:uid="{00000000-0005-0000-0000-00009B050000}"/>
    <cellStyle name="Headin - Style6" xfId="1455" xr:uid="{00000000-0005-0000-0000-00009C050000}"/>
    <cellStyle name="heading" xfId="1456" xr:uid="{00000000-0005-0000-0000-00009D050000}"/>
    <cellStyle name="Heading 1" xfId="1457" builtinId="16" customBuiltin="1"/>
    <cellStyle name="Heading 1 Above" xfId="1458" xr:uid="{00000000-0005-0000-0000-00009F050000}"/>
    <cellStyle name="Heading 1+" xfId="1459" xr:uid="{00000000-0005-0000-0000-0000A0050000}"/>
    <cellStyle name="Heading 2" xfId="1460" builtinId="17" customBuiltin="1"/>
    <cellStyle name="Heading 2 Below" xfId="1461" xr:uid="{00000000-0005-0000-0000-0000A2050000}"/>
    <cellStyle name="Heading 3" xfId="1462" builtinId="18" customBuiltin="1"/>
    <cellStyle name="Heading 4" xfId="1463" builtinId="19" customBuiltin="1"/>
    <cellStyle name="Headings" xfId="1464" xr:uid="{00000000-0005-0000-0000-0000A5050000}"/>
    <cellStyle name="Hidden" xfId="1465" xr:uid="{00000000-0005-0000-0000-0000A6050000}"/>
    <cellStyle name="Highlight" xfId="1466" xr:uid="{00000000-0005-0000-0000-0000A7050000}"/>
    <cellStyle name="Historic" xfId="1467" xr:uid="{00000000-0005-0000-0000-0000A8050000}"/>
    <cellStyle name="horizontalRight" xfId="1723" xr:uid="{FAE7C55E-19CB-4F5D-9456-B71D6518CA26}"/>
    <cellStyle name="horizontalRightHyperlink" xfId="1724" xr:uid="{7DE206F4-4B0C-4D62-89F5-7899EDD64E7D}"/>
    <cellStyle name="Hyperlink" xfId="1730" builtinId="8"/>
    <cellStyle name="Input" xfId="1468" builtinId="20" customBuiltin="1"/>
    <cellStyle name="Input [yellow]" xfId="1469" xr:uid="{00000000-0005-0000-0000-0000AA050000}"/>
    <cellStyle name="inputs" xfId="1470" xr:uid="{00000000-0005-0000-0000-0000AB050000}"/>
    <cellStyle name="Invisible" xfId="1471" xr:uid="{00000000-0005-0000-0000-0000AC050000}"/>
    <cellStyle name="Item Descriptions" xfId="1472" xr:uid="{00000000-0005-0000-0000-0000AD050000}"/>
    <cellStyle name="Item Descriptions - Bold" xfId="1473" xr:uid="{00000000-0005-0000-0000-0000AE050000}"/>
    <cellStyle name="Lable8Left" xfId="1474" xr:uid="{00000000-0005-0000-0000-0000AF050000}"/>
    <cellStyle name="Line" xfId="1475" xr:uid="{00000000-0005-0000-0000-0000B0050000}"/>
    <cellStyle name="Linked Cell" xfId="1476" builtinId="24" customBuiltin="1"/>
    <cellStyle name="m" xfId="1477" xr:uid="{00000000-0005-0000-0000-0000B2050000}"/>
    <cellStyle name="MacroCode" xfId="1478" xr:uid="{00000000-0005-0000-0000-0000B3050000}"/>
    <cellStyle name="Magic" xfId="1479" xr:uid="{00000000-0005-0000-0000-0000B4050000}"/>
    <cellStyle name="Map Labels" xfId="1480" xr:uid="{00000000-0005-0000-0000-0000B5050000}"/>
    <cellStyle name="Map Legend" xfId="1481" xr:uid="{00000000-0005-0000-0000-0000B6050000}"/>
    <cellStyle name="Map Title" xfId="1482" xr:uid="{00000000-0005-0000-0000-0000B7050000}"/>
    <cellStyle name="Margin without x [1]" xfId="1483" xr:uid="{00000000-0005-0000-0000-0000B8050000}"/>
    <cellStyle name="Milliers [0]_UPDATE" xfId="1484" xr:uid="{00000000-0005-0000-0000-0000B9050000}"/>
    <cellStyle name="Milliers_UPDATE" xfId="1485" xr:uid="{00000000-0005-0000-0000-0000BA050000}"/>
    <cellStyle name="Mine" xfId="1486" xr:uid="{00000000-0005-0000-0000-0000BB050000}"/>
    <cellStyle name="Monétaire [0]_UPDATE" xfId="1487" xr:uid="{00000000-0005-0000-0000-0000BC050000}"/>
    <cellStyle name="Monétaire_UPDATE" xfId="1488" xr:uid="{00000000-0005-0000-0000-0000BD050000}"/>
    <cellStyle name="mult" xfId="1489" xr:uid="{00000000-0005-0000-0000-0000BE050000}"/>
    <cellStyle name="Multiple" xfId="1490" xr:uid="{00000000-0005-0000-0000-0000BF050000}"/>
    <cellStyle name="Multiple [0]" xfId="1491" xr:uid="{00000000-0005-0000-0000-0000C0050000}"/>
    <cellStyle name="Multiple [1]" xfId="1492" xr:uid="{00000000-0005-0000-0000-0000C1050000}"/>
    <cellStyle name="Multiple_2 PICS v4.3 (Comps, PT)" xfId="1493" xr:uid="{00000000-0005-0000-0000-0000C2050000}"/>
    <cellStyle name="Multiples" xfId="1494" xr:uid="{00000000-0005-0000-0000-0000C3050000}"/>
    <cellStyle name="n" xfId="1495" xr:uid="{00000000-0005-0000-0000-0000C4050000}"/>
    <cellStyle name="N/A" xfId="1496" xr:uid="{00000000-0005-0000-0000-0000C5050000}"/>
    <cellStyle name="Neutral" xfId="1497" builtinId="28" customBuiltin="1"/>
    <cellStyle name="NewColumnHeaderNormal" xfId="1498" xr:uid="{00000000-0005-0000-0000-0000C7050000}"/>
    <cellStyle name="NewSectionHeaderNormal" xfId="1499" xr:uid="{00000000-0005-0000-0000-0000C8050000}"/>
    <cellStyle name="NewTitleNormal" xfId="1500" xr:uid="{00000000-0005-0000-0000-0000C9050000}"/>
    <cellStyle name="Normal" xfId="0" builtinId="0"/>
    <cellStyle name="Normal - Style1" xfId="1501" xr:uid="{00000000-0005-0000-0000-0000CB050000}"/>
    <cellStyle name="Normal [2]" xfId="1502" xr:uid="{00000000-0005-0000-0000-0000CC050000}"/>
    <cellStyle name="Normal 2" xfId="1503" xr:uid="{00000000-0005-0000-0000-0000CD050000}"/>
    <cellStyle name="Normal 2 2" xfId="1504" xr:uid="{00000000-0005-0000-0000-0000CE050000}"/>
    <cellStyle name="Normal 3" xfId="1717" xr:uid="{C2089E7A-5AF4-4F9C-8859-2508D913B53D}"/>
    <cellStyle name="Normal_Ch01 Pics v2.2" xfId="1505" xr:uid="{00000000-0005-0000-0000-0000CF050000}"/>
    <cellStyle name="Normal_Ch03 Pics" xfId="1506" xr:uid="{00000000-0005-0000-0000-0000D0050000}"/>
    <cellStyle name="Normal_Comparable Companies_Completed v2-18-09" xfId="1507" xr:uid="{00000000-0005-0000-0000-0000D1050000}"/>
    <cellStyle name="Normal_compSet(1)" xfId="1508" xr:uid="{00000000-0005-0000-0000-0000D3050000}"/>
    <cellStyle name="Normal_Financials" xfId="1509" xr:uid="{00000000-0005-0000-0000-0000D4050000}"/>
    <cellStyle name="Normal_Implied Share Price v12-22-07" xfId="1510" xr:uid="{00000000-0005-0000-0000-0000D5050000}"/>
    <cellStyle name="Normal_Input Page2" xfId="1511" xr:uid="{00000000-0005-0000-0000-0000D6050000}"/>
    <cellStyle name="Note" xfId="1512" builtinId="10" customBuiltin="1"/>
    <cellStyle name="Notes" xfId="1513" xr:uid="{00000000-0005-0000-0000-0000D8050000}"/>
    <cellStyle name="Num1" xfId="1514" xr:uid="{00000000-0005-0000-0000-0000D9050000}"/>
    <cellStyle name="Num1Blue" xfId="1515" xr:uid="{00000000-0005-0000-0000-0000DA050000}"/>
    <cellStyle name="num1Style" xfId="1516" xr:uid="{00000000-0005-0000-0000-0000DB050000}"/>
    <cellStyle name="Num2" xfId="1517" xr:uid="{00000000-0005-0000-0000-0000DC050000}"/>
    <cellStyle name="num4Style" xfId="1518" xr:uid="{00000000-0005-0000-0000-0000DD050000}"/>
    <cellStyle name="Numbers" xfId="1519" xr:uid="{00000000-0005-0000-0000-0000DE050000}"/>
    <cellStyle name="Numbers - Bold" xfId="1520" xr:uid="{00000000-0005-0000-0000-0000DF050000}"/>
    <cellStyle name="Numbers - Bold - Italic" xfId="1521" xr:uid="{00000000-0005-0000-0000-0000E0050000}"/>
    <cellStyle name="Numbers - Bold_WACC2" xfId="1522" xr:uid="{00000000-0005-0000-0000-0000E1050000}"/>
    <cellStyle name="Numbers - Large" xfId="1523" xr:uid="{00000000-0005-0000-0000-0000E2050000}"/>
    <cellStyle name="Numbers_Comps" xfId="1524" xr:uid="{00000000-0005-0000-0000-0000E3050000}"/>
    <cellStyle name="OSW_ColumnLabels" xfId="1525" xr:uid="{00000000-0005-0000-0000-0000E4050000}"/>
    <cellStyle name="Output" xfId="1526" builtinId="21" customBuiltin="1"/>
    <cellStyle name="p" xfId="1527" xr:uid="{00000000-0005-0000-0000-0000E6050000}"/>
    <cellStyle name="Page Heading" xfId="1528" xr:uid="{00000000-0005-0000-0000-0000E7050000}"/>
    <cellStyle name="Page Heading Large" xfId="1529" xr:uid="{00000000-0005-0000-0000-0000E8050000}"/>
    <cellStyle name="Page Heading Small" xfId="1530" xr:uid="{00000000-0005-0000-0000-0000E9050000}"/>
    <cellStyle name="Page Number" xfId="1531" xr:uid="{00000000-0005-0000-0000-0000EA050000}"/>
    <cellStyle name="Parens (1)" xfId="1532" xr:uid="{00000000-0005-0000-0000-0000EB050000}"/>
    <cellStyle name="pb_page_heading_LS" xfId="1533" xr:uid="{00000000-0005-0000-0000-0000EC050000}"/>
    <cellStyle name="pct_sub" xfId="1534" xr:uid="{00000000-0005-0000-0000-0000ED050000}"/>
    <cellStyle name="Pctg" xfId="1535" xr:uid="{00000000-0005-0000-0000-0000EE050000}"/>
    <cellStyle name="Percent" xfId="1536" builtinId="5"/>
    <cellStyle name="Percent [0]" xfId="1537" xr:uid="{00000000-0005-0000-0000-0000F0050000}"/>
    <cellStyle name="Percent [1]" xfId="1538" xr:uid="{00000000-0005-0000-0000-0000F1050000}"/>
    <cellStyle name="Percent [2]" xfId="1539" xr:uid="{00000000-0005-0000-0000-0000F2050000}"/>
    <cellStyle name="Percent Hard" xfId="1540" xr:uid="{00000000-0005-0000-0000-0000F3050000}"/>
    <cellStyle name="Percent0" xfId="1541" xr:uid="{00000000-0005-0000-0000-0000F4050000}"/>
    <cellStyle name="Percent1" xfId="1542" xr:uid="{00000000-0005-0000-0000-0000F5050000}"/>
    <cellStyle name="Percent1Blue" xfId="1543" xr:uid="{00000000-0005-0000-0000-0000F6050000}"/>
    <cellStyle name="Percent2" xfId="1544" xr:uid="{00000000-0005-0000-0000-0000F7050000}"/>
    <cellStyle name="Percent2Blue" xfId="1545" xr:uid="{00000000-0005-0000-0000-0000F8050000}"/>
    <cellStyle name="Percent3" xfId="1546" xr:uid="{00000000-0005-0000-0000-0000F9050000}"/>
    <cellStyle name="Percent4" xfId="1547" xr:uid="{00000000-0005-0000-0000-0000FA050000}"/>
    <cellStyle name="PROJECT" xfId="1548" xr:uid="{00000000-0005-0000-0000-0000FB050000}"/>
    <cellStyle name="PROJECT R" xfId="1549" xr:uid="{00000000-0005-0000-0000-0000FC050000}"/>
    <cellStyle name="PSChar" xfId="1550" xr:uid="{00000000-0005-0000-0000-0000FD050000}"/>
    <cellStyle name="PSDate" xfId="1551" xr:uid="{00000000-0005-0000-0000-0000FE050000}"/>
    <cellStyle name="PSDec" xfId="1552" xr:uid="{00000000-0005-0000-0000-0000FF050000}"/>
    <cellStyle name="PSHeading" xfId="1553" xr:uid="{00000000-0005-0000-0000-000000060000}"/>
    <cellStyle name="PSInt" xfId="1554" xr:uid="{00000000-0005-0000-0000-000001060000}"/>
    <cellStyle name="PSSpacer" xfId="1555" xr:uid="{00000000-0005-0000-0000-000002060000}"/>
    <cellStyle name="Red Text" xfId="1556" xr:uid="{00000000-0005-0000-0000-000003060000}"/>
    <cellStyle name="rod" xfId="1557" xr:uid="{00000000-0005-0000-0000-000004060000}"/>
    <cellStyle name="RowHeader" xfId="1558" xr:uid="{00000000-0005-0000-0000-000005060000}"/>
    <cellStyle name="s" xfId="1559" xr:uid="{00000000-0005-0000-0000-000006060000}"/>
    <cellStyle name="ScripFactor" xfId="1560" xr:uid="{00000000-0005-0000-0000-000007060000}"/>
    <cellStyle name="SectionHeaderNormal" xfId="1561" xr:uid="{00000000-0005-0000-0000-000008060000}"/>
    <cellStyle name="Shaded" xfId="1562" xr:uid="{00000000-0005-0000-0000-000009060000}"/>
    <cellStyle name="Shares" xfId="1563" xr:uid="{00000000-0005-0000-0000-00000A060000}"/>
    <cellStyle name="SheetSubtitle1" xfId="1564" xr:uid="{00000000-0005-0000-0000-00000B060000}"/>
    <cellStyle name="SheetSubtitle2" xfId="1565" xr:uid="{00000000-0005-0000-0000-00000C060000}"/>
    <cellStyle name="SheetSubtitle3" xfId="1566" xr:uid="{00000000-0005-0000-0000-00000D060000}"/>
    <cellStyle name="SheetTitle" xfId="1567" xr:uid="{00000000-0005-0000-0000-00000E060000}"/>
    <cellStyle name="Single Accounting" xfId="1568" xr:uid="{00000000-0005-0000-0000-00000F060000}"/>
    <cellStyle name="Source" xfId="1569" xr:uid="{00000000-0005-0000-0000-000010060000}"/>
    <cellStyle name="Style 1" xfId="1" xr:uid="{00000000-0005-0000-0000-000011060000}"/>
    <cellStyle name="Style 10" xfId="933" xr:uid="{00000000-0005-0000-0000-000012060000}"/>
    <cellStyle name="Style 11" xfId="934" xr:uid="{00000000-0005-0000-0000-000013060000}"/>
    <cellStyle name="Style 12" xfId="935" xr:uid="{00000000-0005-0000-0000-000014060000}"/>
    <cellStyle name="Style 13" xfId="936" xr:uid="{00000000-0005-0000-0000-000015060000}"/>
    <cellStyle name="Style 14" xfId="937" xr:uid="{00000000-0005-0000-0000-000016060000}"/>
    <cellStyle name="Style 15" xfId="938" xr:uid="{00000000-0005-0000-0000-000017060000}"/>
    <cellStyle name="Style 16" xfId="939" xr:uid="{00000000-0005-0000-0000-000018060000}"/>
    <cellStyle name="Style 17" xfId="940" xr:uid="{00000000-0005-0000-0000-000019060000}"/>
    <cellStyle name="Style 18" xfId="1322" xr:uid="{00000000-0005-0000-0000-00001A060000}"/>
    <cellStyle name="Style 2" xfId="3" xr:uid="{00000000-0005-0000-0000-00001B060000}"/>
    <cellStyle name="Style 21" xfId="1570" xr:uid="{00000000-0005-0000-0000-00001C060000}"/>
    <cellStyle name="Style 22" xfId="1571" xr:uid="{00000000-0005-0000-0000-00001D060000}"/>
    <cellStyle name="Style 23" xfId="1572" xr:uid="{00000000-0005-0000-0000-00001E060000}"/>
    <cellStyle name="Style 24" xfId="1573" xr:uid="{00000000-0005-0000-0000-00001F060000}"/>
    <cellStyle name="Style 25" xfId="1574" xr:uid="{00000000-0005-0000-0000-000020060000}"/>
    <cellStyle name="Style 26" xfId="1575" xr:uid="{00000000-0005-0000-0000-000021060000}"/>
    <cellStyle name="Style 27" xfId="1576" xr:uid="{00000000-0005-0000-0000-000022060000}"/>
    <cellStyle name="Style 28" xfId="1577" xr:uid="{00000000-0005-0000-0000-000023060000}"/>
    <cellStyle name="Style 29" xfId="1578" xr:uid="{00000000-0005-0000-0000-000024060000}"/>
    <cellStyle name="Style 3" xfId="926" xr:uid="{00000000-0005-0000-0000-000025060000}"/>
    <cellStyle name="Style 30" xfId="1579" xr:uid="{00000000-0005-0000-0000-000026060000}"/>
    <cellStyle name="Style 31" xfId="1580" xr:uid="{00000000-0005-0000-0000-000027060000}"/>
    <cellStyle name="Style 32" xfId="1581" xr:uid="{00000000-0005-0000-0000-000028060000}"/>
    <cellStyle name="Style 33" xfId="1582" xr:uid="{00000000-0005-0000-0000-000029060000}"/>
    <cellStyle name="Style 34" xfId="1583" xr:uid="{00000000-0005-0000-0000-00002A060000}"/>
    <cellStyle name="Style 35" xfId="1584" xr:uid="{00000000-0005-0000-0000-00002B060000}"/>
    <cellStyle name="Style 36" xfId="1585" xr:uid="{00000000-0005-0000-0000-00002C060000}"/>
    <cellStyle name="Style 37" xfId="1586" xr:uid="{00000000-0005-0000-0000-00002D060000}"/>
    <cellStyle name="Style 38" xfId="1587" xr:uid="{00000000-0005-0000-0000-00002E060000}"/>
    <cellStyle name="Style 39" xfId="1588" xr:uid="{00000000-0005-0000-0000-00002F060000}"/>
    <cellStyle name="Style 4" xfId="927" xr:uid="{00000000-0005-0000-0000-000030060000}"/>
    <cellStyle name="Style 40" xfId="1589" xr:uid="{00000000-0005-0000-0000-000031060000}"/>
    <cellStyle name="Style 41" xfId="1590" xr:uid="{00000000-0005-0000-0000-000032060000}"/>
    <cellStyle name="Style 42" xfId="1591" xr:uid="{00000000-0005-0000-0000-000033060000}"/>
    <cellStyle name="Style 43" xfId="1592" xr:uid="{00000000-0005-0000-0000-000034060000}"/>
    <cellStyle name="Style 44" xfId="1593" xr:uid="{00000000-0005-0000-0000-000035060000}"/>
    <cellStyle name="Style 45" xfId="1594" xr:uid="{00000000-0005-0000-0000-000036060000}"/>
    <cellStyle name="Style 46" xfId="1595" xr:uid="{00000000-0005-0000-0000-000037060000}"/>
    <cellStyle name="Style 47" xfId="1596" xr:uid="{00000000-0005-0000-0000-000038060000}"/>
    <cellStyle name="Style 48" xfId="1597" xr:uid="{00000000-0005-0000-0000-000039060000}"/>
    <cellStyle name="Style 5" xfId="928" xr:uid="{00000000-0005-0000-0000-00003A060000}"/>
    <cellStyle name="Style 6" xfId="929" xr:uid="{00000000-0005-0000-0000-00003B060000}"/>
    <cellStyle name="Style 66" xfId="1598" xr:uid="{00000000-0005-0000-0000-00003C060000}"/>
    <cellStyle name="Style 68" xfId="1599" xr:uid="{00000000-0005-0000-0000-00003D060000}"/>
    <cellStyle name="Style 7" xfId="930" xr:uid="{00000000-0005-0000-0000-00003E060000}"/>
    <cellStyle name="Style 70" xfId="1600" xr:uid="{00000000-0005-0000-0000-00003F060000}"/>
    <cellStyle name="Style 71" xfId="1601" xr:uid="{00000000-0005-0000-0000-000040060000}"/>
    <cellStyle name="Style 73" xfId="1602" xr:uid="{00000000-0005-0000-0000-000041060000}"/>
    <cellStyle name="Style 74" xfId="1603" xr:uid="{00000000-0005-0000-0000-000042060000}"/>
    <cellStyle name="Style 78" xfId="1604" xr:uid="{00000000-0005-0000-0000-000043060000}"/>
    <cellStyle name="Style 79" xfId="1605" xr:uid="{00000000-0005-0000-0000-000044060000}"/>
    <cellStyle name="Style 8" xfId="931" xr:uid="{00000000-0005-0000-0000-000045060000}"/>
    <cellStyle name="Style 80" xfId="1606" xr:uid="{00000000-0005-0000-0000-000046060000}"/>
    <cellStyle name="Style 82" xfId="1607" xr:uid="{00000000-0005-0000-0000-000047060000}"/>
    <cellStyle name="Style 83" xfId="1608" xr:uid="{00000000-0005-0000-0000-000048060000}"/>
    <cellStyle name="Style 85" xfId="1609" xr:uid="{00000000-0005-0000-0000-000049060000}"/>
    <cellStyle name="Style 86" xfId="1610" xr:uid="{00000000-0005-0000-0000-00004A060000}"/>
    <cellStyle name="Style 9" xfId="932" xr:uid="{00000000-0005-0000-0000-00004B060000}"/>
    <cellStyle name="Style 91" xfId="1611" xr:uid="{00000000-0005-0000-0000-00004C060000}"/>
    <cellStyle name="Style 92" xfId="1612" xr:uid="{00000000-0005-0000-0000-00004D060000}"/>
    <cellStyle name="SubScript" xfId="1613" xr:uid="{00000000-0005-0000-0000-00004E060000}"/>
    <cellStyle name="Subtitle" xfId="1614" xr:uid="{00000000-0005-0000-0000-00004F060000}"/>
    <cellStyle name="subtotals" xfId="1615" xr:uid="{00000000-0005-0000-0000-000050060000}"/>
    <cellStyle name="SuperScript" xfId="1616" xr:uid="{00000000-0005-0000-0000-000051060000}"/>
    <cellStyle name="Table Col Head" xfId="1617" xr:uid="{00000000-0005-0000-0000-000052060000}"/>
    <cellStyle name="Table Head" xfId="1618" xr:uid="{00000000-0005-0000-0000-000053060000}"/>
    <cellStyle name="Table Head Aligned" xfId="1619" xr:uid="{00000000-0005-0000-0000-000054060000}"/>
    <cellStyle name="Table Head Blue" xfId="1620" xr:uid="{00000000-0005-0000-0000-000055060000}"/>
    <cellStyle name="Table Head Green" xfId="1621" xr:uid="{00000000-0005-0000-0000-000056060000}"/>
    <cellStyle name="Table Sub Head" xfId="1622" xr:uid="{00000000-0005-0000-0000-000057060000}"/>
    <cellStyle name="Table Title" xfId="1623" xr:uid="{00000000-0005-0000-0000-000058060000}"/>
    <cellStyle name="Table Units" xfId="1624" xr:uid="{00000000-0005-0000-0000-000059060000}"/>
    <cellStyle name="TableBody" xfId="1625" xr:uid="{00000000-0005-0000-0000-00005A060000}"/>
    <cellStyle name="TableBodyR" xfId="1626" xr:uid="{00000000-0005-0000-0000-00005B060000}"/>
    <cellStyle name="TableColHeads" xfId="1627" xr:uid="{00000000-0005-0000-0000-00005C060000}"/>
    <cellStyle name="TableHead" xfId="1628" xr:uid="{00000000-0005-0000-0000-00005D060000}"/>
    <cellStyle name="TextBold" xfId="1629" xr:uid="{00000000-0005-0000-0000-00005E060000}"/>
    <cellStyle name="TextItalic" xfId="1630" xr:uid="{00000000-0005-0000-0000-00005F060000}"/>
    <cellStyle name="TextNormal" xfId="1631" xr:uid="{00000000-0005-0000-0000-000060060000}"/>
    <cellStyle name="þ´Ì_x0010__x000c__x0010__x0009_à_x000c__x0003__x0009_ß_x0007_ÜÉ_x0009__x0007__x0001__x0001_" xfId="1632" xr:uid="{00000000-0005-0000-0000-000061060000}"/>
    <cellStyle name="Theirs" xfId="1633" xr:uid="{00000000-0005-0000-0000-000062060000}"/>
    <cellStyle name="Times 10" xfId="1634" xr:uid="{00000000-0005-0000-0000-000063060000}"/>
    <cellStyle name="Times 12" xfId="1635" xr:uid="{00000000-0005-0000-0000-000064060000}"/>
    <cellStyle name="Times New Roman" xfId="1636" xr:uid="{00000000-0005-0000-0000-000065060000}"/>
    <cellStyle name="Title" xfId="1637" builtinId="15" customBuiltin="1"/>
    <cellStyle name="Title - PROJECT" xfId="1638" xr:uid="{00000000-0005-0000-0000-000067060000}"/>
    <cellStyle name="Title - Underline" xfId="1639" xr:uid="{00000000-0005-0000-0000-000068060000}"/>
    <cellStyle name="title1" xfId="1640" xr:uid="{00000000-0005-0000-0000-000069060000}"/>
    <cellStyle name="Title10" xfId="1641" xr:uid="{00000000-0005-0000-0000-00006A060000}"/>
    <cellStyle name="Title2" xfId="1642" xr:uid="{00000000-0005-0000-0000-00006B060000}"/>
    <cellStyle name="Title8" xfId="1643" xr:uid="{00000000-0005-0000-0000-00006C060000}"/>
    <cellStyle name="Title8Left" xfId="1644" xr:uid="{00000000-0005-0000-0000-00006D060000}"/>
    <cellStyle name="TitleNormal" xfId="1645" xr:uid="{00000000-0005-0000-0000-00006E060000}"/>
    <cellStyle name="Titles - Col. Headings" xfId="1646" xr:uid="{00000000-0005-0000-0000-00006F060000}"/>
    <cellStyle name="Titles - Other" xfId="1647" xr:uid="{00000000-0005-0000-0000-000070060000}"/>
    <cellStyle name="Top Row" xfId="1648" xr:uid="{00000000-0005-0000-0000-000071060000}"/>
    <cellStyle name="TopGrey" xfId="1649" xr:uid="{00000000-0005-0000-0000-000072060000}"/>
    <cellStyle name="Total" xfId="1650" builtinId="25" customBuiltin="1"/>
    <cellStyle name="ubordinated Debt" xfId="1651" xr:uid="{00000000-0005-0000-0000-000074060000}"/>
    <cellStyle name="Warning Text" xfId="1652" builtinId="11" customBuiltin="1"/>
    <cellStyle name="WP" xfId="1653" xr:uid="{00000000-0005-0000-0000-000076060000}"/>
    <cellStyle name="X" xfId="1654" xr:uid="{00000000-0005-0000-0000-000077060000}"/>
    <cellStyle name="X - None" xfId="1655" xr:uid="{00000000-0005-0000-0000-000078060000}"/>
    <cellStyle name="x Men" xfId="1656" xr:uid="{00000000-0005-0000-0000-000079060000}"/>
    <cellStyle name="x_ASTEC4BK" xfId="1657" xr:uid="{00000000-0005-0000-0000-00007A060000}"/>
    <cellStyle name="x_ASTEC4BK_1" xfId="1658" xr:uid="{00000000-0005-0000-0000-00007B060000}"/>
    <cellStyle name="x_ASTEC4BK_2" xfId="1659" xr:uid="{00000000-0005-0000-0000-00007C060000}"/>
    <cellStyle name="x_ASTEC4BK_2_PENT10BK.XLS Chart 1" xfId="1660" xr:uid="{00000000-0005-0000-0000-00007D060000}"/>
    <cellStyle name="x_ASTEC4BK_2_PENT10BK.XLS Chart 1_1" xfId="1661" xr:uid="{00000000-0005-0000-0000-00007E060000}"/>
    <cellStyle name="x_ASTEC4BK_2_PENT10BK.XLS Chart 1-1" xfId="1662" xr:uid="{00000000-0005-0000-0000-00007F060000}"/>
    <cellStyle name="x_ASTEC4BK_2_PENT10BK.XLS Chart 1-10" xfId="1663" xr:uid="{00000000-0005-0000-0000-000080060000}"/>
    <cellStyle name="x_ASTEC4BK_2_PENT10BK.XLS Chart 1-11" xfId="1664" xr:uid="{00000000-0005-0000-0000-000081060000}"/>
    <cellStyle name="x_ASTEC4BK_2_PENT10BK.XLS Chart 1-2" xfId="1665" xr:uid="{00000000-0005-0000-0000-000082060000}"/>
    <cellStyle name="x_ASTEC4BK_2_PENT10BK.XLS Chart 1-3" xfId="1666" xr:uid="{00000000-0005-0000-0000-000083060000}"/>
    <cellStyle name="x_ASTEC4BK_2_PENT10BK.XLS Chart 1-4" xfId="1667" xr:uid="{00000000-0005-0000-0000-000084060000}"/>
    <cellStyle name="x_ASTEC4BK_2_PENT10BK.XLS Chart 1-5" xfId="1668" xr:uid="{00000000-0005-0000-0000-000085060000}"/>
    <cellStyle name="x_ASTEC4BK_2_PENT10BK.XLS Chart 1-6" xfId="1669" xr:uid="{00000000-0005-0000-0000-000086060000}"/>
    <cellStyle name="x_ASTEC4BK_2_PENT10BK.XLS Chart 1-7" xfId="1670" xr:uid="{00000000-0005-0000-0000-000087060000}"/>
    <cellStyle name="x_ASTEC4BK_2_PENT10BK.XLS Chart 1-8" xfId="1671" xr:uid="{00000000-0005-0000-0000-000088060000}"/>
    <cellStyle name="x_ASTEC4BK_2_PENT10BK.XLS Chart 1-9" xfId="1672" xr:uid="{00000000-0005-0000-0000-000089060000}"/>
    <cellStyle name="x_ASTEC4BK_2_PENT10BK.XLS Chart 2" xfId="1673" xr:uid="{00000000-0005-0000-0000-00008A060000}"/>
    <cellStyle name="x_ASTEC4BK_2_PENT10BK.XLS Chart 2-1" xfId="1674" xr:uid="{00000000-0005-0000-0000-00008B060000}"/>
    <cellStyle name="x_ASTEC4BK_2_UDI4-BK" xfId="1675" xr:uid="{00000000-0005-0000-0000-00008C060000}"/>
    <cellStyle name="x_black5bk.xls Chart 1" xfId="1676" xr:uid="{00000000-0005-0000-0000-00008D060000}"/>
    <cellStyle name="x_BLACK5BK.XLS Chart 1-1" xfId="1677" xr:uid="{00000000-0005-0000-0000-00008E060000}"/>
    <cellStyle name="x_BLACK5BK.XLS Chart 1-2" xfId="1678" xr:uid="{00000000-0005-0000-0000-00008F060000}"/>
    <cellStyle name="x_Project Horseshoe - Merger Model (May 2006) v.33 (DRAFT)" xfId="1679" xr:uid="{00000000-0005-0000-0000-000090060000}"/>
    <cellStyle name="x_UDI4-BK.xls Chart 1" xfId="1680" xr:uid="{00000000-0005-0000-0000-000091060000}"/>
    <cellStyle name="x_UDI4-BK.XLS Chart 1_1" xfId="1681" xr:uid="{00000000-0005-0000-0000-000092060000}"/>
    <cellStyle name="x_UDI4-BK.XLS Chart 1_1_PENT10BK.XLS Chart 1" xfId="1682" xr:uid="{00000000-0005-0000-0000-000093060000}"/>
    <cellStyle name="x_UDI4-BK.XLS Chart 1_1_PENT10BK.XLS Chart 1_1" xfId="1683" xr:uid="{00000000-0005-0000-0000-000094060000}"/>
    <cellStyle name="x_UDI4-BK.XLS Chart 1_1_PENT10BK.XLS Chart 1-1" xfId="1684" xr:uid="{00000000-0005-0000-0000-000095060000}"/>
    <cellStyle name="x_UDI4-BK.XLS Chart 1_1_PENT10BK.XLS Chart 1-10" xfId="1685" xr:uid="{00000000-0005-0000-0000-000096060000}"/>
    <cellStyle name="x_UDI4-BK.XLS Chart 1_1_PENT10BK.XLS Chart 1-11" xfId="1686" xr:uid="{00000000-0005-0000-0000-000097060000}"/>
    <cellStyle name="x_UDI4-BK.XLS Chart 1_1_PENT10BK.XLS Chart 1-2" xfId="1687" xr:uid="{00000000-0005-0000-0000-000098060000}"/>
    <cellStyle name="x_UDI4-BK.XLS Chart 1_1_PENT10BK.XLS Chart 1-3" xfId="1688" xr:uid="{00000000-0005-0000-0000-000099060000}"/>
    <cellStyle name="x_UDI4-BK.XLS Chart 1_1_PENT10BK.XLS Chart 1-4" xfId="1689" xr:uid="{00000000-0005-0000-0000-00009A060000}"/>
    <cellStyle name="x_UDI4-BK.XLS Chart 1_1_PENT10BK.XLS Chart 1-5" xfId="1690" xr:uid="{00000000-0005-0000-0000-00009B060000}"/>
    <cellStyle name="x_UDI4-BK.XLS Chart 1_1_PENT10BK.XLS Chart 1-6" xfId="1691" xr:uid="{00000000-0005-0000-0000-00009C060000}"/>
    <cellStyle name="x_UDI4-BK.XLS Chart 1_1_PENT10BK.XLS Chart 1-7" xfId="1692" xr:uid="{00000000-0005-0000-0000-00009D060000}"/>
    <cellStyle name="x_UDI4-BK.XLS Chart 1_1_PENT10BK.XLS Chart 1-8" xfId="1693" xr:uid="{00000000-0005-0000-0000-00009E060000}"/>
    <cellStyle name="x_UDI4-BK.XLS Chart 1_1_PENT10BK.XLS Chart 1-9" xfId="1694" xr:uid="{00000000-0005-0000-0000-00009F060000}"/>
    <cellStyle name="x_UDI4-BK.XLS Chart 1_1_PENT10BK.XLS Chart 2" xfId="1695" xr:uid="{00000000-0005-0000-0000-0000A0060000}"/>
    <cellStyle name="x_UDI4-BK.XLS Chart 1_1_PENT10BK.XLS Chart 2-1" xfId="1696" xr:uid="{00000000-0005-0000-0000-0000A1060000}"/>
    <cellStyle name="x_UDI4-BK.XLS Chart 1_1_UDI4-BK" xfId="1697" xr:uid="{00000000-0005-0000-0000-0000A2060000}"/>
    <cellStyle name="x_UDI4-BK.XLS Chart 1-1" xfId="1698" xr:uid="{00000000-0005-0000-0000-0000A3060000}"/>
    <cellStyle name="x_UDI4-BK.XLS Chart 1-1_PENT10BK.XLS Chart 1" xfId="1699" xr:uid="{00000000-0005-0000-0000-0000A4060000}"/>
    <cellStyle name="x_UDI4-BK.XLS Chart 1-1_PENT10BK.XLS Chart 1_1" xfId="1700" xr:uid="{00000000-0005-0000-0000-0000A5060000}"/>
    <cellStyle name="x_UDI4-BK.XLS Chart 1-1_PENT10BK.XLS Chart 1-1" xfId="1701" xr:uid="{00000000-0005-0000-0000-0000A6060000}"/>
    <cellStyle name="x_UDI4-BK.XLS Chart 1-1_PENT10BK.XLS Chart 1-10" xfId="1702" xr:uid="{00000000-0005-0000-0000-0000A7060000}"/>
    <cellStyle name="x_UDI4-BK.XLS Chart 1-1_PENT10BK.XLS Chart 1-11" xfId="1703" xr:uid="{00000000-0005-0000-0000-0000A8060000}"/>
    <cellStyle name="x_UDI4-BK.XLS Chart 1-1_PENT10BK.XLS Chart 1-2" xfId="1704" xr:uid="{00000000-0005-0000-0000-0000A9060000}"/>
    <cellStyle name="x_UDI4-BK.XLS Chart 1-1_PENT10BK.XLS Chart 1-3" xfId="1705" xr:uid="{00000000-0005-0000-0000-0000AA060000}"/>
    <cellStyle name="x_UDI4-BK.XLS Chart 1-1_PENT10BK.XLS Chart 1-4" xfId="1706" xr:uid="{00000000-0005-0000-0000-0000AB060000}"/>
    <cellStyle name="x_UDI4-BK.XLS Chart 1-1_PENT10BK.XLS Chart 1-5" xfId="1707" xr:uid="{00000000-0005-0000-0000-0000AC060000}"/>
    <cellStyle name="x_UDI4-BK.XLS Chart 1-1_PENT10BK.XLS Chart 1-6" xfId="1708" xr:uid="{00000000-0005-0000-0000-0000AD060000}"/>
    <cellStyle name="x_UDI4-BK.XLS Chart 1-1_PENT10BK.XLS Chart 1-7" xfId="1709" xr:uid="{00000000-0005-0000-0000-0000AE060000}"/>
    <cellStyle name="x_UDI4-BK.XLS Chart 1-1_PENT10BK.XLS Chart 1-8" xfId="1710" xr:uid="{00000000-0005-0000-0000-0000AF060000}"/>
    <cellStyle name="x_UDI4-BK.XLS Chart 1-1_PENT10BK.XLS Chart 1-9" xfId="1711" xr:uid="{00000000-0005-0000-0000-0000B0060000}"/>
    <cellStyle name="x_UDI4-BK.XLS Chart 1-1_PENT10BK.XLS Chart 2" xfId="1712" xr:uid="{00000000-0005-0000-0000-0000B1060000}"/>
    <cellStyle name="x_UDI4-BK.XLS Chart 1-1_PENT10BK.XLS Chart 2-1" xfId="1713" xr:uid="{00000000-0005-0000-0000-0000B2060000}"/>
    <cellStyle name="x_UDI4-BK.XLS Chart 1-1_UDI4-BK" xfId="1714" xr:uid="{00000000-0005-0000-0000-0000B3060000}"/>
    <cellStyle name="Year" xfId="1715" xr:uid="{00000000-0005-0000-0000-0000B4060000}"/>
    <cellStyle name="Yen" xfId="1716" xr:uid="{00000000-0005-0000-0000-0000B506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5</xdr:col>
      <xdr:colOff>0</xdr:colOff>
      <xdr:row>14</xdr:row>
      <xdr:rowOff>0</xdr:rowOff>
    </xdr:from>
    <xdr:to>
      <xdr:col>12</xdr:col>
      <xdr:colOff>0</xdr:colOff>
      <xdr:row>16</xdr:row>
      <xdr:rowOff>0</xdr:rowOff>
    </xdr:to>
    <xdr:sp macro="" textlink="">
      <xdr:nvSpPr>
        <xdr:cNvPr id="70657" name="Rectangle 1">
          <a:extLst>
            <a:ext uri="{FF2B5EF4-FFF2-40B4-BE49-F238E27FC236}">
              <a16:creationId xmlns:a16="http://schemas.microsoft.com/office/drawing/2014/main" id="{00000000-0008-0000-0300-000001140100}"/>
            </a:ext>
          </a:extLst>
        </xdr:cNvPr>
        <xdr:cNvSpPr>
          <a:spLocks noChangeArrowheads="1"/>
        </xdr:cNvSpPr>
      </xdr:nvSpPr>
      <xdr:spPr bwMode="auto">
        <a:xfrm>
          <a:off x="3914775" y="2428875"/>
          <a:ext cx="7629525" cy="323850"/>
        </a:xfrm>
        <a:prstGeom prst="rect">
          <a:avLst/>
        </a:prstGeom>
        <a:noFill/>
        <a:ln w="9525">
          <a:solidFill>
            <a:srgbClr xmlns:mc="http://schemas.openxmlformats.org/markup-compatibility/2006" xmlns:a14="http://schemas.microsoft.com/office/drawing/2010/main" val="000000" mc:Ignorable="a14" a14:legacySpreadsheetColorIndex="64"/>
          </a:solidFill>
          <a:miter lim="800000"/>
          <a:headEnd/>
          <a:tailEnd/>
        </a:ln>
        <a:effectLst>
          <a:outerShdw dist="53882" dir="2700000" algn="ctr" rotWithShape="0">
            <a:srgbClr xmlns:mc="http://schemas.openxmlformats.org/markup-compatibility/2006" xmlns:a14="http://schemas.microsoft.com/office/drawing/2010/main" val="000000" mc:Ignorable="a14" a14:legacySpreadsheetColorIndex="8">
              <a:alpha val="50000"/>
            </a:srgbClr>
          </a:outerShdw>
        </a:effectLst>
        <a:extLst>
          <a:ext uri="{909E8E84-426E-40DD-AFC4-6F175D3DCCD1}">
            <a14:hiddenFill xmlns:a14="http://schemas.microsoft.com/office/drawing/2010/main">
              <a:solidFill>
                <a:srgbClr xmlns:mc="http://schemas.openxmlformats.org/markup-compatibility/2006" val="000000" mc:Ignorable="a14" a14:legacySpreadsheetColorIndex="64"/>
              </a:solidFill>
            </a14:hiddenFill>
          </a:ext>
          <a:ext uri="{53640926-AAD7-44D8-BBD7-CCE9431645EC}">
            <a14:shadowObscured xmlns:a14="http://schemas.microsoft.com/office/drawing/2010/main" val="1"/>
          </a:ext>
        </a:extLst>
      </xdr:spPr>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500000" mc:Ignorable="a14" a14:legacySpreadsheetColorIndex="8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val="1"/>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hyperlink" Target="https://my.pitchbook.com/gs/all" TargetMode="External"/><Relationship Id="rId3" Type="http://schemas.openxmlformats.org/officeDocument/2006/relationships/hyperlink" Target="https://my.pitchbook.com/gs/all" TargetMode="External"/><Relationship Id="rId7" Type="http://schemas.openxmlformats.org/officeDocument/2006/relationships/hyperlink" Target="https://my.pitchbook.com/gs/all" TargetMode="External"/><Relationship Id="rId2" Type="http://schemas.openxmlformats.org/officeDocument/2006/relationships/hyperlink" Target="https://my.pitchbook.com/gs/all" TargetMode="External"/><Relationship Id="rId1" Type="http://schemas.openxmlformats.org/officeDocument/2006/relationships/hyperlink" Target="https://my.pitchbook.com/gs/all" TargetMode="External"/><Relationship Id="rId6" Type="http://schemas.openxmlformats.org/officeDocument/2006/relationships/hyperlink" Target="https://my.pitchbook.com/gs/all" TargetMode="External"/><Relationship Id="rId5" Type="http://schemas.openxmlformats.org/officeDocument/2006/relationships/hyperlink" Target="https://my.pitchbook.com/gs/all" TargetMode="External"/><Relationship Id="rId4" Type="http://schemas.openxmlformats.org/officeDocument/2006/relationships/hyperlink" Target="https://my.pitchbook.com/gs/all" TargetMode="External"/><Relationship Id="rId9" Type="http://schemas.openxmlformats.org/officeDocument/2006/relationships/hyperlink" Target="https://my.pitchbook.com/gs/all"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C6:O21"/>
  <sheetViews>
    <sheetView showGridLines="0" zoomScale="70" zoomScaleNormal="70" workbookViewId="0">
      <selection activeCell="H36" sqref="H36"/>
    </sheetView>
  </sheetViews>
  <sheetFormatPr defaultColWidth="9.1796875" defaultRowHeight="12.5"/>
  <cols>
    <col min="1" max="16384" width="9.1796875" style="193"/>
  </cols>
  <sheetData>
    <row r="6" spans="7:15" ht="63">
      <c r="G6" s="222" t="s">
        <v>192</v>
      </c>
      <c r="H6" s="315"/>
      <c r="O6" s="315"/>
    </row>
    <row r="7" spans="7:15" ht="33.5">
      <c r="G7" s="223" t="s">
        <v>0</v>
      </c>
    </row>
    <row r="8" spans="7:15" ht="33.5">
      <c r="G8" s="194"/>
    </row>
    <row r="12" spans="7:15" ht="32">
      <c r="G12" s="195" t="s">
        <v>1</v>
      </c>
    </row>
    <row r="20" spans="3:3" ht="23">
      <c r="C20" s="176" t="s">
        <v>390</v>
      </c>
    </row>
    <row r="21" spans="3:3" ht="23">
      <c r="C21" s="176" t="s">
        <v>2</v>
      </c>
    </row>
  </sheetData>
  <phoneticPr fontId="3" type="noConversion"/>
  <pageMargins left="0.75" right="0.75" top="1" bottom="1" header="0.5" footer="0.5"/>
  <pageSetup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7">
    <tabColor theme="5" tint="0.79998168889431442"/>
    <pageSetUpPr fitToPage="1"/>
  </sheetPr>
  <dimension ref="A1:HZ132"/>
  <sheetViews>
    <sheetView showGridLines="0" zoomScale="90" zoomScaleNormal="90" zoomScaleSheetLayoutView="85" workbookViewId="0">
      <selection activeCell="I1" sqref="D1:I1048576"/>
    </sheetView>
  </sheetViews>
  <sheetFormatPr defaultColWidth="9.1796875" defaultRowHeight="12.5"/>
  <cols>
    <col min="1" max="1" width="0.81640625" style="18" customWidth="1"/>
    <col min="2" max="4" width="13.7265625" style="18" customWidth="1"/>
    <col min="5" max="5" width="15.54296875" style="18" customWidth="1"/>
    <col min="6" max="6" width="17.1796875" style="18" customWidth="1"/>
    <col min="7" max="7" width="16.453125" style="18" customWidth="1"/>
    <col min="8" max="8" width="13.7265625" style="18" customWidth="1"/>
    <col min="9" max="9" width="13.1796875" style="18" customWidth="1"/>
    <col min="10" max="14" width="15.26953125" style="18" customWidth="1"/>
    <col min="15" max="15" width="16.81640625" style="18" customWidth="1"/>
    <col min="16" max="16" width="3.81640625" style="2" customWidth="1"/>
    <col min="17" max="18" width="9.1796875" style="17"/>
    <col min="19" max="19" width="27.54296875" style="17" bestFit="1" customWidth="1"/>
    <col min="20" max="21" width="9.1796875" style="17"/>
    <col min="22" max="16384" width="9.1796875" style="18"/>
  </cols>
  <sheetData>
    <row r="1" spans="1:19" ht="25">
      <c r="A1" s="2"/>
      <c r="B1" s="172" t="str">
        <f>Cover!G6</f>
        <v>Planet Fitness, Inc.</v>
      </c>
      <c r="C1" s="108"/>
      <c r="D1" s="108"/>
      <c r="E1" s="108"/>
      <c r="F1" s="108"/>
      <c r="G1" s="108"/>
      <c r="H1" s="108"/>
      <c r="I1" s="108"/>
      <c r="J1" s="108"/>
      <c r="K1" s="108"/>
      <c r="L1" s="108"/>
      <c r="M1" s="108"/>
      <c r="N1" s="108"/>
      <c r="O1" s="108"/>
      <c r="P1" s="57"/>
    </row>
    <row r="2" spans="1:19" ht="20">
      <c r="A2" s="2"/>
      <c r="B2" s="105" t="s">
        <v>3</v>
      </c>
      <c r="C2" s="108"/>
      <c r="D2" s="108"/>
      <c r="E2" s="108"/>
      <c r="F2" s="108"/>
      <c r="G2" s="108"/>
      <c r="H2" s="108"/>
      <c r="I2" s="108"/>
      <c r="J2" s="108"/>
      <c r="K2" s="108"/>
      <c r="L2" s="108"/>
      <c r="M2" s="108"/>
      <c r="N2" s="108"/>
      <c r="O2" s="108"/>
      <c r="P2" s="57"/>
    </row>
    <row r="3" spans="1:19" ht="13.5" thickBot="1">
      <c r="A3" s="2"/>
      <c r="B3" s="111" t="s">
        <v>4</v>
      </c>
      <c r="C3" s="112"/>
      <c r="D3" s="112"/>
      <c r="E3" s="112"/>
      <c r="F3" s="112"/>
      <c r="G3" s="112"/>
      <c r="H3" s="112"/>
      <c r="I3" s="112"/>
      <c r="J3" s="112"/>
      <c r="K3" s="112"/>
      <c r="L3" s="112"/>
      <c r="M3" s="113" t="str">
        <f>B4</f>
        <v xml:space="preserve">Operating Scenario </v>
      </c>
      <c r="N3" s="112"/>
      <c r="O3" s="114" t="str">
        <f>+CHOOSE(D4,'AS1'!B8,'AS1'!B9,'AS1'!B10,'AS1'!#REF!,'AS1'!#REF!)</f>
        <v xml:space="preserve">   Base</v>
      </c>
      <c r="P3" s="52"/>
    </row>
    <row r="4" spans="1:19" ht="13">
      <c r="A4" s="2"/>
      <c r="B4" s="13" t="s">
        <v>5</v>
      </c>
      <c r="C4" s="60"/>
      <c r="D4" s="107">
        <v>1</v>
      </c>
      <c r="E4" s="2"/>
    </row>
    <row r="5" spans="1:19" s="19" customFormat="1" ht="13">
      <c r="B5" s="556" t="s">
        <v>6</v>
      </c>
      <c r="C5" s="557"/>
      <c r="D5" s="107" t="s">
        <v>7</v>
      </c>
      <c r="E5" s="109" t="s">
        <v>8</v>
      </c>
      <c r="F5" s="316"/>
      <c r="G5" s="316"/>
      <c r="H5" s="3" t="s">
        <v>9</v>
      </c>
      <c r="J5" s="565" t="s">
        <v>10</v>
      </c>
      <c r="K5" s="565"/>
      <c r="L5" s="565"/>
      <c r="M5" s="565"/>
      <c r="N5" s="565"/>
      <c r="O5" s="561" t="s">
        <v>9</v>
      </c>
      <c r="P5" s="67"/>
    </row>
    <row r="6" spans="1:19" s="19" customFormat="1" ht="13">
      <c r="B6" s="558"/>
      <c r="C6" s="539"/>
      <c r="D6" s="539"/>
      <c r="E6" s="110">
        <f>+F6-1</f>
        <v>2021</v>
      </c>
      <c r="F6" s="110">
        <f>+G6-1</f>
        <v>2022</v>
      </c>
      <c r="G6" s="110">
        <f>+I6-1</f>
        <v>2023</v>
      </c>
      <c r="H6" s="196" t="s">
        <v>11</v>
      </c>
      <c r="I6" s="161">
        <v>2024</v>
      </c>
      <c r="J6" s="559">
        <f>+I6+1</f>
        <v>2025</v>
      </c>
      <c r="K6" s="560">
        <f>+J6+1</f>
        <v>2026</v>
      </c>
      <c r="L6" s="560">
        <f>+K6+1</f>
        <v>2027</v>
      </c>
      <c r="M6" s="560">
        <f>+L6+1</f>
        <v>2028</v>
      </c>
      <c r="N6" s="560">
        <f>+M6+1</f>
        <v>2029</v>
      </c>
      <c r="O6" s="196" t="s">
        <v>12</v>
      </c>
      <c r="P6" s="106"/>
    </row>
    <row r="7" spans="1:19" s="19" customFormat="1" ht="14.5">
      <c r="B7" s="539" t="s">
        <v>13</v>
      </c>
      <c r="C7" s="539"/>
      <c r="D7" s="539"/>
      <c r="E7" s="540">
        <v>587023</v>
      </c>
      <c r="F7" s="540">
        <v>936772</v>
      </c>
      <c r="G7" s="540">
        <v>1071326</v>
      </c>
      <c r="H7" s="541">
        <f>+IF(ISERROR((G7/E7)^(1/($G$6-$E$6))-1),"-",(G7/E7)^(1/($G$6-$E$6))-1)</f>
        <v>0.35093129883967711</v>
      </c>
      <c r="I7" s="540">
        <v>1181654</v>
      </c>
      <c r="J7" s="487">
        <f>I7*(1+J59)</f>
        <v>1299819.4000000001</v>
      </c>
      <c r="K7" s="542">
        <f>J7*(1+K59)</f>
        <v>1423302.243</v>
      </c>
      <c r="L7" s="542">
        <f>K7*(1+L59)</f>
        <v>1551399.4448700002</v>
      </c>
      <c r="M7" s="542">
        <f>L7*(1+M59)</f>
        <v>1687922.5960185605</v>
      </c>
      <c r="N7" s="542">
        <f>M7*(1+N59)</f>
        <v>1836459.784468194</v>
      </c>
      <c r="O7" s="541">
        <f>+IF(ISERROR((N7/I7)^(1/($N$6-$I$6))-1),"-",(N7/I7)^(1/($N$6-$I$6))-1)</f>
        <v>9.2190057202942155E-2</v>
      </c>
      <c r="S7" s="96"/>
    </row>
    <row r="8" spans="1:19" s="17" customFormat="1" ht="13">
      <c r="A8" s="2"/>
      <c r="B8" s="543" t="s">
        <v>14</v>
      </c>
      <c r="C8" s="423"/>
      <c r="D8" s="423"/>
      <c r="E8" s="498" t="s">
        <v>15</v>
      </c>
      <c r="F8" s="498">
        <f>+IF(ISERROR(F7/E7-1),0,F7/E7-1)</f>
        <v>0.59580118666559923</v>
      </c>
      <c r="G8" s="498">
        <f>+IF(ISERROR(G7/F7-1),0,G7/F7-1)</f>
        <v>0.14363580465684289</v>
      </c>
      <c r="H8" s="544"/>
      <c r="I8" s="545">
        <f>+IF(ISERROR(I7/G7-1),0,I7/G7-1)</f>
        <v>0.10298265887320945</v>
      </c>
      <c r="J8" s="498">
        <f>+IF(ISERROR(J7/I7-1),0,J7/I7-1)</f>
        <v>0.10000000000000009</v>
      </c>
      <c r="K8" s="498">
        <f>+IF(ISERROR(K7/J7-1),0,K7/J7-1)</f>
        <v>9.4999999999999973E-2</v>
      </c>
      <c r="L8" s="498">
        <f>+IF(ISERROR(L7/K7-1),0,L7/K7-1)</f>
        <v>9.000000000000008E-2</v>
      </c>
      <c r="M8" s="498">
        <f>+IF(ISERROR(M7/L7-1),0,M7/L7-1)</f>
        <v>8.8000000000000078E-2</v>
      </c>
      <c r="N8" s="498">
        <f>+IF(ISERROR(N7/M7-1),0,N7/M7-1)</f>
        <v>8.8000000000000078E-2</v>
      </c>
      <c r="O8" s="544"/>
      <c r="P8" s="205"/>
      <c r="Q8" s="2"/>
      <c r="R8" s="2"/>
    </row>
    <row r="9" spans="1:19" ht="14.5">
      <c r="A9" s="2"/>
      <c r="B9" s="546" t="s">
        <v>16</v>
      </c>
      <c r="C9" s="423"/>
      <c r="D9" s="423"/>
      <c r="E9" s="508">
        <v>170158</v>
      </c>
      <c r="F9" s="508">
        <v>285538</v>
      </c>
      <c r="G9" s="508">
        <v>323714</v>
      </c>
      <c r="H9" s="541"/>
      <c r="I9" s="508">
        <v>369516</v>
      </c>
      <c r="J9" s="547">
        <f>J7*J60</f>
        <v>409443.11100000003</v>
      </c>
      <c r="K9" s="547">
        <f>K7*K60</f>
        <v>448340.20654500002</v>
      </c>
      <c r="L9" s="547">
        <f>L7*L60</f>
        <v>488690.8251340501</v>
      </c>
      <c r="M9" s="547">
        <f>M7*M60</f>
        <v>531695.61774584651</v>
      </c>
      <c r="N9" s="547">
        <f>N7*N60</f>
        <v>578484.83210748108</v>
      </c>
      <c r="O9" s="541"/>
      <c r="P9" s="19"/>
      <c r="Q9" s="94"/>
      <c r="S9" s="95"/>
    </row>
    <row r="10" spans="1:19" ht="13">
      <c r="A10" s="2"/>
      <c r="B10" s="548" t="s">
        <v>17</v>
      </c>
      <c r="C10" s="506"/>
      <c r="D10" s="506"/>
      <c r="E10" s="542">
        <f>+E7-E9</f>
        <v>416865</v>
      </c>
      <c r="F10" s="542">
        <f>+F7-F9</f>
        <v>651234</v>
      </c>
      <c r="G10" s="542">
        <f>+G7-G9</f>
        <v>747612</v>
      </c>
      <c r="H10" s="541">
        <f>+IF(ISERROR((G10/E10)^(1/($G$6-$E$6))-1),"-",(G10/E10)^(1/($G$6-$E$6))-1)</f>
        <v>0.3391845034930876</v>
      </c>
      <c r="I10" s="549">
        <f t="shared" ref="I10:N10" si="0">+I7-I9</f>
        <v>812138</v>
      </c>
      <c r="J10" s="542">
        <f>+J7-J9</f>
        <v>890376.28900000011</v>
      </c>
      <c r="K10" s="542">
        <f>+K7-K9</f>
        <v>974962.03645500005</v>
      </c>
      <c r="L10" s="542">
        <f t="shared" si="0"/>
        <v>1062708.6197359501</v>
      </c>
      <c r="M10" s="542">
        <f t="shared" si="0"/>
        <v>1156226.978272714</v>
      </c>
      <c r="N10" s="542">
        <f t="shared" si="0"/>
        <v>1257974.9523607129</v>
      </c>
      <c r="O10" s="541">
        <f>+IF(ISERROR((N10/I10)^(1/($N$6-$I$6))-1),"-",(N10/I10)^(1/($N$6-$I$6))-1)</f>
        <v>9.1461528551134652E-2</v>
      </c>
    </row>
    <row r="11" spans="1:19" s="17" customFormat="1" ht="13">
      <c r="A11" s="2"/>
      <c r="B11" s="543" t="s">
        <v>18</v>
      </c>
      <c r="C11" s="423"/>
      <c r="D11" s="423"/>
      <c r="E11" s="498">
        <f>+IF(ISERROR(E10/E7),0,E10/E7)</f>
        <v>0.710134015191909</v>
      </c>
      <c r="F11" s="498">
        <f>+IF(ISERROR(F10/F7),0,F10/F7)</f>
        <v>0.69518943777141073</v>
      </c>
      <c r="G11" s="498">
        <f>+IF(ISERROR(G10/G7),0,G10/G7)</f>
        <v>0.69783800635847537</v>
      </c>
      <c r="H11" s="544"/>
      <c r="I11" s="545">
        <f t="shared" ref="I11:N11" si="1">+IF(ISERROR(I10/I7),0,I10/I7)</f>
        <v>0.68728917263429057</v>
      </c>
      <c r="J11" s="498">
        <f>+IF(ISERROR(J10/J7),0,J10/J7)</f>
        <v>0.68500000000000005</v>
      </c>
      <c r="K11" s="498">
        <f t="shared" si="1"/>
        <v>0.68500000000000005</v>
      </c>
      <c r="L11" s="498">
        <f t="shared" si="1"/>
        <v>0.68499999999999994</v>
      </c>
      <c r="M11" s="498">
        <f t="shared" si="1"/>
        <v>0.68500000000000005</v>
      </c>
      <c r="N11" s="498">
        <f t="shared" si="1"/>
        <v>0.68500000000000005</v>
      </c>
      <c r="O11" s="544"/>
      <c r="P11" s="205"/>
      <c r="Q11" s="2"/>
      <c r="R11" s="2"/>
    </row>
    <row r="12" spans="1:19" ht="14.5">
      <c r="A12" s="2"/>
      <c r="B12" s="546" t="s">
        <v>19</v>
      </c>
      <c r="C12" s="423"/>
      <c r="D12" s="423"/>
      <c r="E12" s="508">
        <v>94540</v>
      </c>
      <c r="F12" s="508">
        <v>114853</v>
      </c>
      <c r="G12" s="508">
        <v>124930</v>
      </c>
      <c r="H12" s="541"/>
      <c r="I12" s="508">
        <v>129146</v>
      </c>
      <c r="J12" s="547">
        <f>J7*J61</f>
        <v>129981.94000000002</v>
      </c>
      <c r="K12" s="547">
        <f>K7*K61</f>
        <v>142330.2243</v>
      </c>
      <c r="L12" s="547">
        <f>L7*L61</f>
        <v>155139.94448700003</v>
      </c>
      <c r="M12" s="547">
        <f>M7*M61</f>
        <v>168792.25960185606</v>
      </c>
      <c r="N12" s="547">
        <f>N7*N61</f>
        <v>183645.97844681941</v>
      </c>
      <c r="O12" s="541"/>
      <c r="P12" s="19"/>
      <c r="Q12" s="94"/>
      <c r="S12" s="95"/>
    </row>
    <row r="13" spans="1:19" ht="13">
      <c r="A13" s="2"/>
      <c r="B13" s="548" t="s">
        <v>20</v>
      </c>
      <c r="C13" s="506"/>
      <c r="D13" s="506"/>
      <c r="E13" s="542">
        <f>E10-E12</f>
        <v>322325</v>
      </c>
      <c r="F13" s="542">
        <f>F10-F12</f>
        <v>536381</v>
      </c>
      <c r="G13" s="542">
        <f>G10-G12</f>
        <v>622682</v>
      </c>
      <c r="H13" s="541">
        <f>+IF(ISERROR((G13/E13)^(1/($G$6-$E$6))-1),"-",(G13/E13)^(1/($G$6-$E$6))-1)</f>
        <v>0.3899083377370407</v>
      </c>
      <c r="I13" s="549">
        <f t="shared" ref="I13:N13" si="2">I10-I12</f>
        <v>682992</v>
      </c>
      <c r="J13" s="542">
        <f t="shared" si="2"/>
        <v>760394.34900000005</v>
      </c>
      <c r="K13" s="542">
        <f t="shared" si="2"/>
        <v>832631.81215500005</v>
      </c>
      <c r="L13" s="542">
        <f t="shared" si="2"/>
        <v>907568.67524895014</v>
      </c>
      <c r="M13" s="542">
        <f t="shared" si="2"/>
        <v>987434.71867085784</v>
      </c>
      <c r="N13" s="542">
        <f t="shared" si="2"/>
        <v>1074328.9739138936</v>
      </c>
      <c r="O13" s="541">
        <f>+IF(ISERROR((N13/I13)^(1/($N$6-$I$6))-1),"-",(N13/I13)^(1/($N$6-$I$6))-1)</f>
        <v>9.4824063520757562E-2</v>
      </c>
    </row>
    <row r="14" spans="1:19" s="17" customFormat="1" ht="13">
      <c r="A14" s="2"/>
      <c r="B14" s="543" t="s">
        <v>18</v>
      </c>
      <c r="C14" s="423"/>
      <c r="D14" s="423"/>
      <c r="E14" s="498">
        <f>+IF(ISERROR(E13/E7),0,E13/E7)</f>
        <v>0.54908410743701697</v>
      </c>
      <c r="F14" s="498">
        <f>+IF(ISERROR(F13/F7),0,F13/F7)</f>
        <v>0.57258436417826319</v>
      </c>
      <c r="G14" s="498">
        <f>+IF(ISERROR(G13/G7),0,G13/G7)</f>
        <v>0.58122550932209238</v>
      </c>
      <c r="H14" s="544"/>
      <c r="I14" s="545">
        <f t="shared" ref="I14:N14" si="3">+IF(ISERROR(I13/I7),0,I13/I7)</f>
        <v>0.57799660475909187</v>
      </c>
      <c r="J14" s="498">
        <f t="shared" si="3"/>
        <v>0.58499999999999996</v>
      </c>
      <c r="K14" s="498">
        <f t="shared" si="3"/>
        <v>0.58500000000000008</v>
      </c>
      <c r="L14" s="498">
        <f t="shared" si="3"/>
        <v>0.58499999999999996</v>
      </c>
      <c r="M14" s="498">
        <f t="shared" si="3"/>
        <v>0.58499999999999996</v>
      </c>
      <c r="N14" s="498">
        <f t="shared" si="3"/>
        <v>0.58500000000000008</v>
      </c>
      <c r="O14" s="544"/>
      <c r="P14" s="205"/>
      <c r="Q14" s="2"/>
      <c r="R14" s="2"/>
    </row>
    <row r="15" spans="1:19" ht="14.5">
      <c r="A15" s="2"/>
      <c r="B15" s="546" t="s">
        <v>21</v>
      </c>
      <c r="C15" s="423"/>
      <c r="D15" s="423"/>
      <c r="E15" s="508">
        <v>62800</v>
      </c>
      <c r="F15" s="508">
        <v>124022</v>
      </c>
      <c r="G15" s="508">
        <v>149413</v>
      </c>
      <c r="H15" s="541"/>
      <c r="I15" s="508">
        <v>160346</v>
      </c>
      <c r="J15" s="547">
        <f>J7*J62</f>
        <v>176342.16526666671</v>
      </c>
      <c r="K15" s="547">
        <f>K7*K62</f>
        <v>193094.67096700004</v>
      </c>
      <c r="L15" s="547">
        <f>L7*L62</f>
        <v>210473.19135403007</v>
      </c>
      <c r="M15" s="547">
        <f>M7*M62</f>
        <v>228994.83219318473</v>
      </c>
      <c r="N15" s="547">
        <f>N7*N62</f>
        <v>249146.37742618503</v>
      </c>
      <c r="O15" s="541"/>
      <c r="P15" s="19"/>
      <c r="Q15" s="94"/>
      <c r="S15" s="95"/>
    </row>
    <row r="16" spans="1:19" ht="13">
      <c r="A16" s="2"/>
      <c r="B16" s="548" t="s">
        <v>22</v>
      </c>
      <c r="C16" s="506"/>
      <c r="D16" s="506"/>
      <c r="E16" s="542">
        <f>+E13-E15</f>
        <v>259525</v>
      </c>
      <c r="F16" s="542">
        <f>+F13-F15</f>
        <v>412359</v>
      </c>
      <c r="G16" s="542">
        <f>+G13-G15</f>
        <v>473269</v>
      </c>
      <c r="H16" s="541">
        <f>+IF(ISERROR((G16/E16)^(1/($G$6-$E$6))-1),"-",(G16/E16)^(1/($G$6-$E$6))-1)</f>
        <v>0.35040621887536716</v>
      </c>
      <c r="I16" s="549">
        <f t="shared" ref="I16:N16" si="4">+I13-I15</f>
        <v>522646</v>
      </c>
      <c r="J16" s="542">
        <f t="shared" si="4"/>
        <v>584052.18373333337</v>
      </c>
      <c r="K16" s="542">
        <f t="shared" si="4"/>
        <v>639537.14118799998</v>
      </c>
      <c r="L16" s="542">
        <f t="shared" si="4"/>
        <v>697095.48389492009</v>
      </c>
      <c r="M16" s="542">
        <f t="shared" si="4"/>
        <v>758439.88647767308</v>
      </c>
      <c r="N16" s="542">
        <f t="shared" si="4"/>
        <v>825182.59648770851</v>
      </c>
      <c r="O16" s="541">
        <f>+IF(ISERROR((N16/I16)^(1/($N$6-$I$6))-1),"-",(N16/I16)^(1/($N$6-$I$6))-1)</f>
        <v>9.5641530215702097E-2</v>
      </c>
    </row>
    <row r="17" spans="1:228" s="17" customFormat="1" ht="13">
      <c r="A17" s="2"/>
      <c r="B17" s="543" t="s">
        <v>18</v>
      </c>
      <c r="C17" s="423"/>
      <c r="D17" s="423"/>
      <c r="E17" s="498">
        <f>+IF(ISERROR(E16/E7),0,E16/E7)</f>
        <v>0.44210363137389846</v>
      </c>
      <c r="F17" s="498">
        <f>+IF(ISERROR(F16/F7),0,F16/F7)</f>
        <v>0.44019142331325017</v>
      </c>
      <c r="G17" s="498">
        <f>+IF(ISERROR(G16/G7),0,G16/G7)</f>
        <v>0.44176002449301144</v>
      </c>
      <c r="H17" s="544"/>
      <c r="I17" s="545">
        <f t="shared" ref="I17:N17" si="5">+IF(ISERROR(I16/I7),0,I16/I7)</f>
        <v>0.44230036880508167</v>
      </c>
      <c r="J17" s="498">
        <f t="shared" si="5"/>
        <v>0.44933333333333331</v>
      </c>
      <c r="K17" s="498">
        <f t="shared" si="5"/>
        <v>0.44933333333333331</v>
      </c>
      <c r="L17" s="498">
        <f t="shared" si="5"/>
        <v>0.44933333333333331</v>
      </c>
      <c r="M17" s="498">
        <f>+IF(ISERROR(M16/M7),0,M16/M7)</f>
        <v>0.44933333333333331</v>
      </c>
      <c r="N17" s="498">
        <f t="shared" si="5"/>
        <v>0.44933333333333331</v>
      </c>
      <c r="O17" s="544"/>
      <c r="P17" s="205"/>
      <c r="Q17" s="2"/>
      <c r="R17" s="2"/>
    </row>
    <row r="18" spans="1:228" ht="13">
      <c r="A18" s="2"/>
      <c r="B18" s="423" t="s">
        <v>23</v>
      </c>
      <c r="C18" s="423"/>
      <c r="D18" s="423"/>
      <c r="E18" s="547">
        <f>32%*E16</f>
        <v>83048</v>
      </c>
      <c r="F18" s="547">
        <f>32%*F16</f>
        <v>131954.88</v>
      </c>
      <c r="G18" s="547">
        <f>32%*G16</f>
        <v>151446.08000000002</v>
      </c>
      <c r="H18" s="541"/>
      <c r="I18" s="550">
        <f t="shared" ref="I18:N18" si="6">+I16*I64</f>
        <v>144772.94200000001</v>
      </c>
      <c r="J18" s="547">
        <f t="shared" si="6"/>
        <v>161782.45489413335</v>
      </c>
      <c r="K18" s="547">
        <f t="shared" si="6"/>
        <v>177151.78810907601</v>
      </c>
      <c r="L18" s="547">
        <f t="shared" si="6"/>
        <v>193095.44903889287</v>
      </c>
      <c r="M18" s="547">
        <f t="shared" si="6"/>
        <v>210087.84855431545</v>
      </c>
      <c r="N18" s="547">
        <f t="shared" si="6"/>
        <v>228575.57922709527</v>
      </c>
      <c r="O18" s="541"/>
      <c r="Q18" s="2"/>
      <c r="R18" s="2"/>
    </row>
    <row r="19" spans="1:228" ht="13">
      <c r="A19" s="2"/>
      <c r="B19" s="548" t="s">
        <v>24</v>
      </c>
      <c r="C19" s="506"/>
      <c r="D19" s="506"/>
      <c r="E19" s="542">
        <f>+E16-E18</f>
        <v>176477</v>
      </c>
      <c r="F19" s="542">
        <f>+F16-F18</f>
        <v>280404.12</v>
      </c>
      <c r="G19" s="542">
        <f>+G16-G18</f>
        <v>321822.92</v>
      </c>
      <c r="H19" s="541">
        <f>+IF(ISERROR((G19/E19)^(1/($G$6-$E$6))-1),"-",(G19/E19)^(1/($G$6-$E$6))-1)</f>
        <v>0.35040621887536716</v>
      </c>
      <c r="I19" s="549">
        <f t="shared" ref="I19:N19" si="7">+I16-I18</f>
        <v>377873.05799999996</v>
      </c>
      <c r="J19" s="542">
        <f t="shared" si="7"/>
        <v>422269.72883919999</v>
      </c>
      <c r="K19" s="542">
        <f t="shared" si="7"/>
        <v>462385.353078924</v>
      </c>
      <c r="L19" s="542">
        <f t="shared" si="7"/>
        <v>504000.03485602723</v>
      </c>
      <c r="M19" s="542">
        <f t="shared" si="7"/>
        <v>548352.03792335768</v>
      </c>
      <c r="N19" s="542">
        <f t="shared" si="7"/>
        <v>596607.01726061327</v>
      </c>
      <c r="O19" s="541">
        <f>+IF(ISERROR((N19/I19)^(1/($N$6-$I$6))-1),"-",(N19/I19)^(1/($N$6-$I$6))-1)</f>
        <v>9.5641530215702097E-2</v>
      </c>
    </row>
    <row r="20" spans="1:228" ht="4" customHeight="1">
      <c r="A20" s="2"/>
      <c r="B20" s="423"/>
      <c r="C20" s="423"/>
      <c r="D20" s="423"/>
      <c r="E20" s="424"/>
      <c r="F20" s="424"/>
      <c r="G20" s="424"/>
      <c r="H20" s="506"/>
      <c r="I20" s="551"/>
      <c r="J20" s="424"/>
      <c r="K20" s="424"/>
      <c r="L20" s="424"/>
      <c r="M20" s="424"/>
      <c r="N20" s="424"/>
      <c r="O20" s="541"/>
    </row>
    <row r="21" spans="1:228" ht="13">
      <c r="A21" s="2"/>
      <c r="B21" s="423" t="s">
        <v>25</v>
      </c>
      <c r="C21" s="423"/>
      <c r="D21" s="423"/>
      <c r="E21" s="552">
        <f>E15</f>
        <v>62800</v>
      </c>
      <c r="F21" s="552">
        <f t="shared" ref="F21:N21" si="8">F15</f>
        <v>124022</v>
      </c>
      <c r="G21" s="552">
        <f t="shared" si="8"/>
        <v>149413</v>
      </c>
      <c r="H21" s="506"/>
      <c r="I21" s="553">
        <f t="shared" si="8"/>
        <v>160346</v>
      </c>
      <c r="J21" s="552">
        <f t="shared" si="8"/>
        <v>176342.16526666671</v>
      </c>
      <c r="K21" s="552">
        <f t="shared" si="8"/>
        <v>193094.67096700004</v>
      </c>
      <c r="L21" s="552">
        <f t="shared" si="8"/>
        <v>210473.19135403007</v>
      </c>
      <c r="M21" s="552">
        <f t="shared" si="8"/>
        <v>228994.83219318473</v>
      </c>
      <c r="N21" s="552">
        <f t="shared" si="8"/>
        <v>249146.37742618503</v>
      </c>
      <c r="O21" s="541"/>
    </row>
    <row r="22" spans="1:228" ht="14.5">
      <c r="A22" s="2"/>
      <c r="B22" s="423" t="s">
        <v>26</v>
      </c>
      <c r="C22" s="423"/>
      <c r="D22" s="423"/>
      <c r="E22" s="508">
        <v>-54074</v>
      </c>
      <c r="F22" s="508">
        <v>-100057</v>
      </c>
      <c r="G22" s="508">
        <v>-135986</v>
      </c>
      <c r="H22" s="506"/>
      <c r="I22" s="508">
        <v>-155061</v>
      </c>
      <c r="J22" s="554">
        <f>-(J7*J63)</f>
        <v>-152544.06169078447</v>
      </c>
      <c r="K22" s="554">
        <f>-(K7*K63)</f>
        <v>-157543.86705593634</v>
      </c>
      <c r="L22" s="554">
        <f>-(L7*L63)</f>
        <v>-162543.67242108824</v>
      </c>
      <c r="M22" s="554">
        <f>-(M7*M63)</f>
        <v>-167543.47778624014</v>
      </c>
      <c r="N22" s="554">
        <f>-(N7*N63)</f>
        <v>-172543.28315139204</v>
      </c>
      <c r="O22" s="541"/>
    </row>
    <row r="23" spans="1:228" ht="14.5">
      <c r="A23" s="2"/>
      <c r="B23" s="423" t="s">
        <v>27</v>
      </c>
      <c r="C23" s="423"/>
      <c r="D23" s="423"/>
      <c r="E23" s="540">
        <v>36143</v>
      </c>
      <c r="F23" s="540">
        <v>-21154</v>
      </c>
      <c r="G23" s="540">
        <v>6877</v>
      </c>
      <c r="H23" s="552"/>
      <c r="I23" s="540">
        <v>-19628</v>
      </c>
      <c r="J23" s="555">
        <f>NWC!G25</f>
        <v>35330.366782428959</v>
      </c>
      <c r="K23" s="555">
        <f>NWC!H25</f>
        <v>6922.4948443307367</v>
      </c>
      <c r="L23" s="555">
        <f>NWC!I25</f>
        <v>7181.1775464083912</v>
      </c>
      <c r="M23" s="555">
        <f>NWC!J25</f>
        <v>7653.5394472387707</v>
      </c>
      <c r="N23" s="555">
        <f>NWC!K25</f>
        <v>8327.0509185958654</v>
      </c>
      <c r="O23" s="541"/>
    </row>
    <row r="24" spans="1:228" ht="4" customHeight="1">
      <c r="A24" s="2"/>
      <c r="B24" s="2"/>
      <c r="C24" s="2"/>
      <c r="D24" s="2"/>
      <c r="E24" s="319"/>
      <c r="F24" s="319"/>
      <c r="G24" s="319"/>
      <c r="H24" s="319"/>
      <c r="I24" s="320"/>
      <c r="J24" s="319"/>
      <c r="K24" s="319"/>
      <c r="L24" s="63"/>
      <c r="M24" s="63"/>
      <c r="N24" s="63"/>
      <c r="O24" s="23"/>
    </row>
    <row r="25" spans="1:228" ht="13">
      <c r="A25" s="2"/>
      <c r="B25" s="5" t="s">
        <v>28</v>
      </c>
      <c r="E25" s="206"/>
      <c r="F25" s="206"/>
      <c r="G25" s="206"/>
      <c r="H25" s="23"/>
      <c r="I25" s="21"/>
      <c r="J25" s="206">
        <f>+J19+SUM(J21:J23)</f>
        <v>481398.19919751119</v>
      </c>
      <c r="K25" s="206">
        <f>+K19+SUM(K21:K23)</f>
        <v>504858.65183431841</v>
      </c>
      <c r="L25" s="206">
        <f>+L19+SUM(L21:L23)</f>
        <v>559110.73133537744</v>
      </c>
      <c r="M25" s="206">
        <f>+M19+SUM(M21:M23)</f>
        <v>617456.93177754106</v>
      </c>
      <c r="N25" s="206">
        <f>+N19+SUM(N21:N23)</f>
        <v>681537.16245400207</v>
      </c>
      <c r="O25" s="23"/>
    </row>
    <row r="26" spans="1:228" s="20" customFormat="1" ht="13">
      <c r="B26" s="49" t="s">
        <v>29</v>
      </c>
      <c r="E26" s="23">
        <f>WACC!D26</f>
        <v>9.0397061353794092E-2</v>
      </c>
      <c r="G26" s="321"/>
      <c r="H26" s="321"/>
      <c r="I26" s="21"/>
      <c r="J26" s="65"/>
      <c r="K26" s="65"/>
      <c r="L26" s="65"/>
      <c r="M26" s="65"/>
      <c r="N26" s="65"/>
      <c r="O26" s="21"/>
    </row>
    <row r="27" spans="1:228" s="20" customFormat="1" ht="13">
      <c r="B27" s="49" t="s">
        <v>30</v>
      </c>
      <c r="E27" s="322"/>
      <c r="F27" s="24"/>
      <c r="G27" s="24"/>
      <c r="H27" s="24"/>
      <c r="I27" s="21"/>
      <c r="J27" s="65">
        <f>IF($D$5="Y",J6-$I$6-0.5,J6-$I$6)</f>
        <v>0.5</v>
      </c>
      <c r="K27" s="65">
        <f>IF($D$5="Y",K6-$I$6-0.5,K6-$I$6)</f>
        <v>1.5</v>
      </c>
      <c r="L27" s="65">
        <f>IF($D$5="Y",L6-$I$6-0.5,L6-$I$6)</f>
        <v>2.5</v>
      </c>
      <c r="M27" s="65">
        <f>IF($D$5="Y",M6-$I$6-0.5,M6-$I$6)</f>
        <v>3.5</v>
      </c>
      <c r="N27" s="65">
        <f>IF($D$5="Y",N6-$I$6-0.5,N6-$I$6)</f>
        <v>4.5</v>
      </c>
      <c r="O27" s="21"/>
      <c r="P27" s="65"/>
    </row>
    <row r="28" spans="1:228" s="2" customFormat="1">
      <c r="B28" s="49" t="s">
        <v>31</v>
      </c>
      <c r="I28" s="25"/>
      <c r="J28" s="323">
        <f>1/((1+$E$26)^(J27))</f>
        <v>0.95765187607988178</v>
      </c>
      <c r="K28" s="323">
        <f>1/((1+$E$26)^(K27))</f>
        <v>0.87825977345435879</v>
      </c>
      <c r="L28" s="323">
        <f>1/((1+$E$26)^(L27))</f>
        <v>0.80544950512242397</v>
      </c>
      <c r="M28" s="323">
        <f>1/((1+$E$26)^(M27))</f>
        <v>0.73867541803754455</v>
      </c>
      <c r="N28" s="323">
        <f>1/((1+$E$26)^(N27))</f>
        <v>0.67743709536454022</v>
      </c>
      <c r="O28" s="26"/>
      <c r="P28" s="323"/>
      <c r="Q28" s="17"/>
      <c r="R28" s="17"/>
      <c r="S28" s="17"/>
      <c r="T28" s="17"/>
      <c r="U28" s="17"/>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c r="CC28" s="18"/>
      <c r="CD28" s="18"/>
      <c r="CE28" s="18"/>
      <c r="CF28" s="18"/>
      <c r="CG28" s="18"/>
      <c r="CH28" s="18"/>
      <c r="CI28" s="18"/>
      <c r="CJ28" s="18"/>
      <c r="CK28" s="18"/>
      <c r="CL28" s="18"/>
      <c r="CM28" s="18"/>
      <c r="CN28" s="18"/>
      <c r="CO28" s="18"/>
      <c r="CP28" s="18"/>
      <c r="CQ28" s="18"/>
      <c r="CR28" s="18"/>
      <c r="CS28" s="18"/>
      <c r="CT28" s="18"/>
      <c r="CU28" s="18"/>
      <c r="CV28" s="18"/>
      <c r="CW28" s="18"/>
      <c r="CX28" s="18"/>
      <c r="CY28" s="18"/>
      <c r="CZ28" s="18"/>
      <c r="DA28" s="18"/>
      <c r="DB28" s="18"/>
      <c r="DC28" s="18"/>
      <c r="DD28" s="18"/>
      <c r="DE28" s="18"/>
      <c r="DF28" s="18"/>
      <c r="DG28" s="18"/>
      <c r="DH28" s="18"/>
      <c r="DI28" s="18"/>
      <c r="DJ28" s="18"/>
      <c r="DK28" s="18"/>
      <c r="DL28" s="18"/>
      <c r="DM28" s="18"/>
      <c r="DN28" s="18"/>
      <c r="DO28" s="18"/>
      <c r="DP28" s="18"/>
      <c r="DQ28" s="18"/>
      <c r="DR28" s="18"/>
      <c r="DS28" s="18"/>
      <c r="DT28" s="18"/>
      <c r="DU28" s="18"/>
      <c r="DV28" s="18"/>
      <c r="DW28" s="18"/>
      <c r="DX28" s="18"/>
      <c r="DY28" s="18"/>
      <c r="DZ28" s="18"/>
      <c r="EA28" s="18"/>
      <c r="EB28" s="18"/>
      <c r="EC28" s="18"/>
      <c r="ED28" s="18"/>
      <c r="EE28" s="18"/>
      <c r="EF28" s="18"/>
      <c r="EG28" s="18"/>
      <c r="EH28" s="18"/>
      <c r="EI28" s="18"/>
      <c r="EJ28" s="18"/>
      <c r="EK28" s="18"/>
      <c r="EL28" s="18"/>
      <c r="EM28" s="18"/>
      <c r="EN28" s="18"/>
      <c r="EO28" s="18"/>
      <c r="EP28" s="18"/>
      <c r="EQ28" s="18"/>
      <c r="ER28" s="18"/>
      <c r="ES28" s="18"/>
      <c r="ET28" s="18"/>
      <c r="EU28" s="18"/>
      <c r="EV28" s="18"/>
      <c r="EW28" s="18"/>
      <c r="EX28" s="18"/>
      <c r="EY28" s="18"/>
      <c r="EZ28" s="18"/>
      <c r="FA28" s="18"/>
      <c r="FB28" s="18"/>
      <c r="FC28" s="18"/>
      <c r="FD28" s="18"/>
      <c r="FE28" s="18"/>
      <c r="FF28" s="18"/>
      <c r="FG28" s="18"/>
      <c r="FH28" s="18"/>
      <c r="FI28" s="18"/>
      <c r="FJ28" s="18"/>
      <c r="FK28" s="18"/>
      <c r="FL28" s="18"/>
      <c r="FM28" s="18"/>
      <c r="FN28" s="18"/>
      <c r="FO28" s="18"/>
      <c r="FP28" s="18"/>
      <c r="FQ28" s="18"/>
      <c r="FR28" s="18"/>
      <c r="FS28" s="18"/>
      <c r="FT28" s="18"/>
      <c r="FU28" s="18"/>
      <c r="FV28" s="18"/>
      <c r="FW28" s="18"/>
      <c r="FX28" s="18"/>
      <c r="FY28" s="18"/>
      <c r="FZ28" s="18"/>
      <c r="GA28" s="18"/>
      <c r="GB28" s="18"/>
      <c r="GC28" s="18"/>
      <c r="GD28" s="18"/>
      <c r="GE28" s="18"/>
      <c r="GF28" s="18"/>
      <c r="GG28" s="18"/>
      <c r="GH28" s="18"/>
      <c r="GI28" s="18"/>
      <c r="GJ28" s="18"/>
      <c r="GK28" s="18"/>
      <c r="GL28" s="18"/>
      <c r="GM28" s="18"/>
      <c r="GN28" s="18"/>
      <c r="GO28" s="18"/>
      <c r="GP28" s="18"/>
      <c r="GQ28" s="18"/>
      <c r="GR28" s="18"/>
      <c r="GS28" s="18"/>
      <c r="GT28" s="18"/>
      <c r="GU28" s="18"/>
      <c r="GV28" s="18"/>
      <c r="GW28" s="18"/>
      <c r="GX28" s="18"/>
      <c r="GY28" s="18"/>
      <c r="GZ28" s="18"/>
      <c r="HA28" s="18"/>
      <c r="HB28" s="18"/>
      <c r="HC28" s="18"/>
      <c r="HD28" s="18"/>
      <c r="HE28" s="18"/>
      <c r="HF28" s="18"/>
      <c r="HG28" s="18"/>
      <c r="HH28" s="18"/>
      <c r="HI28" s="18"/>
      <c r="HJ28" s="18"/>
      <c r="HK28" s="18"/>
      <c r="HL28" s="18"/>
      <c r="HM28" s="18"/>
      <c r="HN28" s="18"/>
      <c r="HO28" s="18"/>
      <c r="HP28" s="18"/>
      <c r="HQ28" s="18"/>
      <c r="HR28" s="18"/>
      <c r="HS28" s="18"/>
      <c r="HT28" s="18"/>
    </row>
    <row r="29" spans="1:228" s="2" customFormat="1" ht="13">
      <c r="B29" s="33" t="s">
        <v>32</v>
      </c>
      <c r="C29" s="34"/>
      <c r="D29" s="34"/>
      <c r="E29" s="35"/>
      <c r="F29" s="34"/>
      <c r="G29" s="34"/>
      <c r="H29" s="36"/>
      <c r="I29" s="37"/>
      <c r="J29" s="174">
        <f>+J25*J28</f>
        <v>461011.88860297325</v>
      </c>
      <c r="K29" s="207">
        <f>+K25*K28</f>
        <v>443397.0451864815</v>
      </c>
      <c r="L29" s="207">
        <f>+L25*L28</f>
        <v>450335.4618627163</v>
      </c>
      <c r="M29" s="207">
        <f>+M25*M28</f>
        <v>456100.25720095477</v>
      </c>
      <c r="N29" s="207">
        <f>+N25*N28</f>
        <v>461698.55571582995</v>
      </c>
      <c r="O29" s="24"/>
      <c r="P29" s="24"/>
    </row>
    <row r="30" spans="1:228" s="2" customFormat="1" ht="13">
      <c r="B30" s="318"/>
      <c r="C30" s="318"/>
      <c r="D30" s="318"/>
      <c r="E30" s="91"/>
      <c r="F30" s="318"/>
      <c r="G30" s="318"/>
      <c r="H30" s="321"/>
      <c r="I30" s="320"/>
      <c r="J30" s="321"/>
      <c r="K30" s="321"/>
      <c r="L30" s="321"/>
      <c r="M30" s="321"/>
      <c r="N30" s="321"/>
      <c r="O30" s="321"/>
      <c r="P30" s="24"/>
    </row>
    <row r="31" spans="1:228" s="2" customFormat="1" ht="12.75" customHeight="1">
      <c r="B31" s="318"/>
      <c r="C31" s="318"/>
      <c r="D31" s="318"/>
      <c r="E31" s="318"/>
      <c r="F31" s="318"/>
      <c r="G31" s="424"/>
      <c r="H31" s="424"/>
      <c r="I31" s="425"/>
      <c r="J31" s="424"/>
      <c r="K31" s="318"/>
      <c r="L31" s="324"/>
      <c r="M31" s="318"/>
      <c r="P31" s="25"/>
      <c r="Q31" s="84"/>
    </row>
    <row r="32" spans="1:228" s="2" customFormat="1" ht="13">
      <c r="B32" s="129" t="s">
        <v>33</v>
      </c>
      <c r="C32" s="127"/>
      <c r="D32" s="127"/>
      <c r="E32" s="127"/>
      <c r="G32" s="566" t="s">
        <v>34</v>
      </c>
      <c r="H32" s="566"/>
      <c r="I32" s="566"/>
      <c r="J32" s="566"/>
      <c r="L32" s="129" t="s">
        <v>35</v>
      </c>
      <c r="M32" s="127"/>
      <c r="N32" s="127"/>
      <c r="O32" s="128"/>
      <c r="Q32" s="130"/>
    </row>
    <row r="33" spans="1:18" s="2" customFormat="1" ht="13">
      <c r="B33" s="486" t="s">
        <v>36</v>
      </c>
      <c r="C33" s="486"/>
      <c r="D33" s="486"/>
      <c r="E33" s="487">
        <f>+SUM(J29:N29)</f>
        <v>2272543.2085689558</v>
      </c>
      <c r="G33" s="423" t="s">
        <v>33</v>
      </c>
      <c r="H33" s="423"/>
      <c r="I33" s="501"/>
      <c r="J33" s="493">
        <f>+E43</f>
        <v>9583755.8415998966</v>
      </c>
      <c r="L33" s="423" t="str">
        <f>"Terminal Year Free Cash Flow ("&amp;N6&amp;"E)"</f>
        <v>Terminal Year Free Cash Flow (2029E)</v>
      </c>
      <c r="M33" s="423"/>
      <c r="N33" s="423"/>
      <c r="O33" s="493">
        <f>+N25</f>
        <v>681537.16245400207</v>
      </c>
      <c r="Q33" s="83"/>
    </row>
    <row r="34" spans="1:18" s="2" customFormat="1" ht="13">
      <c r="B34" s="488"/>
      <c r="C34" s="489"/>
      <c r="D34" s="489"/>
      <c r="E34" s="490"/>
      <c r="G34" s="423" t="s">
        <v>37</v>
      </c>
      <c r="H34" s="423"/>
      <c r="I34" s="423"/>
      <c r="J34" s="311">
        <f>'WACC Documentation'!D10</f>
        <v>2575853</v>
      </c>
      <c r="L34" s="423" t="s">
        <v>38</v>
      </c>
      <c r="M34" s="423"/>
      <c r="N34" s="423"/>
      <c r="O34" s="505">
        <f>+E26</f>
        <v>9.0397061353794092E-2</v>
      </c>
      <c r="Q34" s="85"/>
      <c r="R34" s="85"/>
    </row>
    <row r="35" spans="1:18" s="2" customFormat="1" ht="13">
      <c r="B35" s="491" t="s">
        <v>39</v>
      </c>
      <c r="C35" s="491"/>
      <c r="D35" s="491"/>
      <c r="E35" s="491"/>
      <c r="G35" s="423" t="s">
        <v>40</v>
      </c>
      <c r="H35" s="423"/>
      <c r="I35" s="423"/>
      <c r="J35" s="311">
        <v>0</v>
      </c>
      <c r="L35" s="423" t="str">
        <f>+B35</f>
        <v>Terminal Value</v>
      </c>
      <c r="M35" s="423"/>
      <c r="N35" s="423"/>
      <c r="O35" s="493">
        <f>+E38</f>
        <v>11269710.936356744</v>
      </c>
      <c r="Q35" s="86"/>
      <c r="R35" s="85"/>
    </row>
    <row r="36" spans="1:18" s="2" customFormat="1">
      <c r="B36" s="423" t="str">
        <f>"Terminal Year EBITDA ("&amp;N6&amp;"E)"</f>
        <v>Terminal Year EBITDA (2029E)</v>
      </c>
      <c r="C36" s="492"/>
      <c r="D36" s="492"/>
      <c r="E36" s="493">
        <f>+N13</f>
        <v>1074328.9739138936</v>
      </c>
      <c r="G36" s="423" t="s">
        <v>41</v>
      </c>
      <c r="H36" s="423"/>
      <c r="I36" s="423"/>
      <c r="J36" s="311">
        <v>7</v>
      </c>
      <c r="L36" s="506"/>
      <c r="M36" s="506"/>
      <c r="N36" s="506"/>
      <c r="O36" s="506"/>
      <c r="Q36" s="86"/>
      <c r="R36" s="85"/>
    </row>
    <row r="37" spans="1:18" s="2" customFormat="1" ht="13">
      <c r="B37" s="494" t="s">
        <v>42</v>
      </c>
      <c r="C37" s="494"/>
      <c r="D37" s="494"/>
      <c r="E37" s="495">
        <v>10.49</v>
      </c>
      <c r="G37" s="423" t="s">
        <v>43</v>
      </c>
      <c r="H37" s="423"/>
      <c r="I37" s="423"/>
      <c r="J37" s="311">
        <v>293150</v>
      </c>
      <c r="L37" s="502" t="s">
        <v>35</v>
      </c>
      <c r="M37" s="423"/>
      <c r="N37" s="423"/>
      <c r="O37" s="203">
        <f>+IF(ISERROR(IF(D5="Y",((E38*E26)-N25*(1+E26)^0.5)/(E38+N25*(1+E26)^0.5),((O35*O34)-O33)/(O35+O33))),"- %",IF(D5="Y",((E38*E26)-N25*(1+E26)^0.5)/(E38+N25*(1+E26)^0.5),((O35*O34)-O33)/(O35+O33)))</f>
        <v>2.5629211038885106E-2</v>
      </c>
      <c r="Q37" s="86"/>
      <c r="R37" s="85"/>
    </row>
    <row r="38" spans="1:18" s="2" customFormat="1" ht="13">
      <c r="B38" s="496" t="s">
        <v>44</v>
      </c>
      <c r="C38" s="496"/>
      <c r="D38" s="496"/>
      <c r="E38" s="487">
        <f>+E36*E37</f>
        <v>11269710.936356744</v>
      </c>
      <c r="G38" s="423"/>
      <c r="H38" s="423"/>
      <c r="I38" s="423"/>
      <c r="J38" s="423" t="s">
        <v>45</v>
      </c>
      <c r="L38" s="423"/>
      <c r="M38" s="423"/>
      <c r="N38" s="423"/>
      <c r="O38" s="423"/>
      <c r="Q38" s="85"/>
      <c r="R38" s="85"/>
    </row>
    <row r="39" spans="1:18" s="2" customFormat="1" ht="13">
      <c r="B39" s="492" t="s">
        <v>46</v>
      </c>
      <c r="C39" s="492"/>
      <c r="D39" s="492"/>
      <c r="E39" s="497">
        <f>1/((1+$E$26)^(N6-I6))</f>
        <v>0.64874890530195783</v>
      </c>
      <c r="G39" s="502" t="s">
        <v>47</v>
      </c>
      <c r="H39" s="423"/>
      <c r="I39" s="423"/>
      <c r="J39" s="208">
        <f>J33-J34-J35-J36+J37</f>
        <v>7301045.8415998966</v>
      </c>
      <c r="L39" s="129" t="s">
        <v>48</v>
      </c>
      <c r="M39" s="127"/>
      <c r="N39" s="127"/>
      <c r="O39" s="128"/>
    </row>
    <row r="40" spans="1:18" s="2" customFormat="1" ht="13">
      <c r="B40" s="496" t="s">
        <v>49</v>
      </c>
      <c r="C40" s="496"/>
      <c r="D40" s="496"/>
      <c r="E40" s="487">
        <f>+E38*E39</f>
        <v>7311212.6330309398</v>
      </c>
      <c r="G40" s="423"/>
      <c r="H40" s="423"/>
      <c r="I40" s="423"/>
      <c r="J40" s="423"/>
      <c r="L40" s="507" t="str">
        <f>+G33</f>
        <v>Enterprise Value</v>
      </c>
      <c r="M40" s="423"/>
      <c r="N40" s="423"/>
      <c r="O40" s="493">
        <f>E43</f>
        <v>9583755.8415998966</v>
      </c>
    </row>
    <row r="41" spans="1:18" s="2" customFormat="1" ht="14.5">
      <c r="B41" s="488" t="s">
        <v>50</v>
      </c>
      <c r="C41" s="492"/>
      <c r="D41" s="492"/>
      <c r="E41" s="498">
        <f>+IF(ISERROR(E40/E43),"- %",E40/E43)</f>
        <v>0.76287551079874105</v>
      </c>
      <c r="G41" s="423" t="s">
        <v>51</v>
      </c>
      <c r="H41" s="423"/>
      <c r="I41" s="423"/>
      <c r="J41" s="503">
        <v>82980</v>
      </c>
      <c r="L41" s="423" t="s">
        <v>52</v>
      </c>
      <c r="M41" s="423"/>
      <c r="N41" s="423"/>
      <c r="O41" s="508">
        <v>487710</v>
      </c>
    </row>
    <row r="42" spans="1:18" s="2" customFormat="1">
      <c r="B42" s="492"/>
      <c r="C42" s="492"/>
      <c r="D42" s="492"/>
      <c r="E42" s="499"/>
      <c r="G42" s="423"/>
      <c r="H42" s="423"/>
      <c r="I42" s="423"/>
      <c r="J42" s="504"/>
      <c r="L42" s="423"/>
      <c r="M42" s="423"/>
      <c r="N42" s="423"/>
      <c r="O42" s="423"/>
    </row>
    <row r="43" spans="1:18" s="2" customFormat="1" ht="13">
      <c r="B43" s="500" t="s">
        <v>53</v>
      </c>
      <c r="C43" s="500"/>
      <c r="D43" s="500"/>
      <c r="E43" s="208">
        <f>+E40+E33</f>
        <v>9583755.8415998966</v>
      </c>
      <c r="G43" s="502" t="s">
        <v>54</v>
      </c>
      <c r="H43" s="423"/>
      <c r="I43" s="423"/>
      <c r="J43" s="181">
        <f>+IF(ISERROR(J39/J41),"NA",J39/J41)</f>
        <v>87.985609081705192</v>
      </c>
      <c r="L43" s="502" t="s">
        <v>48</v>
      </c>
      <c r="M43" s="423"/>
      <c r="N43" s="423"/>
      <c r="O43" s="422">
        <f>O40/O41</f>
        <v>19.650521501711872</v>
      </c>
    </row>
    <row r="44" spans="1:18" s="2" customFormat="1"/>
    <row r="45" spans="1:18" s="2" customFormat="1"/>
    <row r="46" spans="1:18" s="2" customFormat="1" ht="13">
      <c r="C46" s="116" t="s">
        <v>33</v>
      </c>
      <c r="D46" s="117"/>
      <c r="E46" s="117"/>
      <c r="F46" s="117"/>
      <c r="G46" s="117"/>
      <c r="H46" s="119"/>
      <c r="J46" s="116" t="s">
        <v>35</v>
      </c>
      <c r="K46" s="117"/>
      <c r="L46" s="117"/>
      <c r="M46" s="117"/>
      <c r="N46" s="117"/>
      <c r="O46" s="119"/>
    </row>
    <row r="47" spans="1:18" s="2" customFormat="1" ht="13">
      <c r="B47" s="27"/>
      <c r="D47" s="115" t="s">
        <v>42</v>
      </c>
      <c r="E47" s="115"/>
      <c r="F47" s="115"/>
      <c r="G47" s="115"/>
      <c r="H47" s="115"/>
      <c r="K47" s="115" t="s">
        <v>42</v>
      </c>
      <c r="L47" s="115"/>
      <c r="M47" s="115"/>
      <c r="N47" s="115"/>
      <c r="O47" s="115"/>
    </row>
    <row r="48" spans="1:18" ht="13">
      <c r="A48" s="27"/>
      <c r="B48" s="27"/>
      <c r="C48" s="68">
        <f>+E43</f>
        <v>9583755.8415998966</v>
      </c>
      <c r="D48" s="72">
        <f>+E48-0.5</f>
        <v>9.49</v>
      </c>
      <c r="E48" s="72">
        <f>+F48-0.5</f>
        <v>9.99</v>
      </c>
      <c r="F48" s="73">
        <v>10.49</v>
      </c>
      <c r="G48" s="72">
        <f>+F48+0.5</f>
        <v>10.99</v>
      </c>
      <c r="H48" s="72">
        <f>+G48+0.5</f>
        <v>11.49</v>
      </c>
      <c r="I48" s="31"/>
      <c r="J48" s="68">
        <f>+O37</f>
        <v>2.5629211038885106E-2</v>
      </c>
      <c r="K48" s="72">
        <f>+L48-0.5</f>
        <v>9.49</v>
      </c>
      <c r="L48" s="72">
        <f>+M48-0.5</f>
        <v>9.99</v>
      </c>
      <c r="M48" s="73">
        <v>10.49</v>
      </c>
      <c r="N48" s="72">
        <f>+M48+0.5</f>
        <v>10.99</v>
      </c>
      <c r="O48" s="72">
        <f>+N48+0.5</f>
        <v>11.49</v>
      </c>
      <c r="P48" s="64"/>
      <c r="Q48" s="2"/>
      <c r="R48" s="2"/>
    </row>
    <row r="49" spans="1:234" s="2" customFormat="1" ht="13">
      <c r="B49" s="567" t="s">
        <v>38</v>
      </c>
      <c r="C49" s="69">
        <f>+C50-0.005</f>
        <v>8.0397061353794083E-2</v>
      </c>
      <c r="D49" s="74">
        <f t="dataTable" ref="D49:H53" dt2D="1" dtr="0" r1="E37" r2="E26" ca="1"/>
        <v>9251891.2028818168</v>
      </c>
      <c r="E49" s="50">
        <v>9616805.0315729901</v>
      </c>
      <c r="F49" s="50">
        <v>9981718.8602641635</v>
      </c>
      <c r="G49" s="50">
        <v>10346632.688955337</v>
      </c>
      <c r="H49" s="50">
        <v>10711546.517646512</v>
      </c>
      <c r="I49" s="567" t="s">
        <v>38</v>
      </c>
      <c r="J49" s="69">
        <f>+J50-0.005</f>
        <v>8.0397061353794083E-2</v>
      </c>
      <c r="K49" s="80">
        <f t="dataTable" ref="K49:O53" dt2D="1" dtr="0" r1="E37" r2="E26" ca="1"/>
        <v>1.0205112586434062E-2</v>
      </c>
      <c r="L49" s="58">
        <v>1.3500697254535635E-2</v>
      </c>
      <c r="M49" s="58">
        <v>1.650069768414418E-2</v>
      </c>
      <c r="N49" s="58">
        <v>1.9243173916655615E-2</v>
      </c>
      <c r="O49" s="58">
        <v>2.1759920652767273E-2</v>
      </c>
    </row>
    <row r="50" spans="1:234" s="2" customFormat="1" ht="13">
      <c r="B50" s="567"/>
      <c r="C50" s="69">
        <f>+C51-0.005</f>
        <v>8.5397061353794088E-2</v>
      </c>
      <c r="D50" s="74">
        <v>9441857.9039285406</v>
      </c>
      <c r="E50" s="120">
        <v>9815334.2196645513</v>
      </c>
      <c r="F50" s="120">
        <v>10188810.53540056</v>
      </c>
      <c r="G50" s="120">
        <v>10562286.851136571</v>
      </c>
      <c r="H50" s="50">
        <v>10935763.166872583</v>
      </c>
      <c r="I50" s="567"/>
      <c r="J50" s="69">
        <f>+J51-0.005</f>
        <v>8.5397061353794088E-2</v>
      </c>
      <c r="K50" s="80">
        <v>5.6813204598885223E-3</v>
      </c>
      <c r="L50" s="121">
        <v>8.9550162637321261E-3</v>
      </c>
      <c r="M50" s="121">
        <v>1.1935050828334133E-2</v>
      </c>
      <c r="N50" s="121">
        <v>1.4659241544685016E-2</v>
      </c>
      <c r="O50" s="58">
        <v>1.7159179624691382E-2</v>
      </c>
    </row>
    <row r="51" spans="1:234" s="2" customFormat="1" ht="13">
      <c r="B51" s="567"/>
      <c r="C51" s="70">
        <f>E26</f>
        <v>9.0397061353794092E-2</v>
      </c>
      <c r="D51" s="74">
        <v>9441857.9039285406</v>
      </c>
      <c r="E51" s="120">
        <v>9815334.2196645513</v>
      </c>
      <c r="F51" s="71">
        <v>10188810.53540056</v>
      </c>
      <c r="G51" s="120">
        <v>10562286.851136571</v>
      </c>
      <c r="H51" s="50">
        <v>10935763.166872583</v>
      </c>
      <c r="I51" s="567"/>
      <c r="J51" s="70">
        <f>E26</f>
        <v>9.0397061353794092E-2</v>
      </c>
      <c r="K51" s="80">
        <v>5.6813204598885223E-3</v>
      </c>
      <c r="L51" s="121">
        <v>8.9550162637321261E-3</v>
      </c>
      <c r="M51" s="79">
        <v>1.1935050828334133E-2</v>
      </c>
      <c r="N51" s="121">
        <v>1.4659241544685016E-2</v>
      </c>
      <c r="O51" s="58">
        <v>1.7159179624691382E-2</v>
      </c>
    </row>
    <row r="52" spans="1:234" s="2" customFormat="1" ht="13">
      <c r="B52" s="567"/>
      <c r="C52" s="69">
        <f>+C51+0.005</f>
        <v>9.5397061353794096E-2</v>
      </c>
      <c r="D52" s="74">
        <v>9251891.2028818168</v>
      </c>
      <c r="E52" s="120">
        <v>9616805.0315729901</v>
      </c>
      <c r="F52" s="120">
        <v>9981718.8602641635</v>
      </c>
      <c r="G52" s="120">
        <v>10346632.688955337</v>
      </c>
      <c r="H52" s="50">
        <v>10711546.517646512</v>
      </c>
      <c r="I52" s="567"/>
      <c r="J52" s="69">
        <f>+J51+0.005</f>
        <v>9.5397061353794096E-2</v>
      </c>
      <c r="K52" s="80">
        <v>1.0205112586434062E-2</v>
      </c>
      <c r="L52" s="121">
        <v>1.3500697254535635E-2</v>
      </c>
      <c r="M52" s="121">
        <v>1.650069768414418E-2</v>
      </c>
      <c r="N52" s="121">
        <v>1.9243173916655615E-2</v>
      </c>
      <c r="O52" s="58">
        <v>2.1759920652767273E-2</v>
      </c>
    </row>
    <row r="53" spans="1:234" s="2" customFormat="1" ht="13">
      <c r="B53" s="567"/>
      <c r="C53" s="69">
        <f>+C52+0.005</f>
        <v>0.1003970613537941</v>
      </c>
      <c r="D53" s="74">
        <v>8886786.0958390813</v>
      </c>
      <c r="E53" s="50">
        <v>9235270.9687194899</v>
      </c>
      <c r="F53" s="50">
        <v>9583755.8415998966</v>
      </c>
      <c r="G53" s="50">
        <v>9932240.7144803032</v>
      </c>
      <c r="H53" s="50">
        <v>10280725.58736071</v>
      </c>
      <c r="I53" s="567"/>
      <c r="J53" s="69">
        <f>+J52+0.005</f>
        <v>0.1003970613537941</v>
      </c>
      <c r="K53" s="80">
        <v>1.924967376724715E-2</v>
      </c>
      <c r="L53" s="58">
        <v>2.2589162539044274E-2</v>
      </c>
      <c r="M53" s="58">
        <v>2.5629211038885106E-2</v>
      </c>
      <c r="N53" s="58">
        <v>2.8408365744856445E-2</v>
      </c>
      <c r="O53" s="58">
        <v>3.0958829308197992E-2</v>
      </c>
    </row>
    <row r="54" spans="1:234" s="2" customFormat="1" ht="13">
      <c r="A54"/>
      <c r="B54" s="324"/>
      <c r="C54" s="28"/>
      <c r="D54" s="28"/>
      <c r="E54" s="29"/>
      <c r="F54" s="327"/>
      <c r="G54" s="327"/>
      <c r="H54" s="327"/>
      <c r="I54" s="324"/>
      <c r="K54" s="62"/>
      <c r="L54" s="62"/>
      <c r="M54" s="62"/>
      <c r="N54" s="62"/>
      <c r="O54" s="62"/>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c r="GX54"/>
      <c r="GY54"/>
      <c r="GZ54"/>
      <c r="HA54"/>
      <c r="HB54"/>
      <c r="HC54"/>
      <c r="HD54"/>
      <c r="HE54"/>
      <c r="HF54"/>
      <c r="HG54"/>
      <c r="HH54"/>
      <c r="HI54"/>
      <c r="HJ54"/>
      <c r="HK54"/>
      <c r="HL54"/>
      <c r="HM54"/>
      <c r="HN54"/>
      <c r="HO54"/>
      <c r="HP54"/>
      <c r="HQ54"/>
      <c r="HR54"/>
      <c r="HS54"/>
      <c r="HT54"/>
      <c r="HU54"/>
      <c r="HV54"/>
      <c r="HW54"/>
      <c r="HX54"/>
      <c r="HY54"/>
      <c r="HZ54"/>
    </row>
    <row r="55" spans="1:234" s="2" customFormat="1" ht="13">
      <c r="A55"/>
      <c r="B55" s="328"/>
      <c r="C55" s="177"/>
      <c r="D55" s="177"/>
      <c r="E55" s="178"/>
      <c r="F55" s="329"/>
      <c r="G55" s="329"/>
      <c r="H55" s="329"/>
      <c r="I55" s="328"/>
      <c r="J55" s="179"/>
      <c r="K55" s="180"/>
      <c r="L55" s="180"/>
      <c r="M55" s="180"/>
      <c r="N55" s="180"/>
      <c r="O55" s="180"/>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c r="GX55"/>
      <c r="GY55"/>
      <c r="GZ55"/>
      <c r="HA55"/>
      <c r="HB55"/>
      <c r="HC55"/>
      <c r="HD55"/>
      <c r="HE55"/>
      <c r="HF55"/>
      <c r="HG55"/>
      <c r="HH55"/>
      <c r="HI55"/>
      <c r="HJ55"/>
      <c r="HK55"/>
      <c r="HL55"/>
      <c r="HM55"/>
      <c r="HN55"/>
      <c r="HO55"/>
      <c r="HP55"/>
      <c r="HQ55"/>
      <c r="HR55"/>
      <c r="HS55"/>
      <c r="HT55"/>
      <c r="HU55"/>
      <c r="HV55"/>
      <c r="HW55"/>
      <c r="HX55"/>
      <c r="HY55"/>
      <c r="HZ55"/>
    </row>
    <row r="56" spans="1:234" s="2" customFormat="1" ht="13">
      <c r="A56"/>
      <c r="B56" s="324"/>
      <c r="C56" s="28"/>
      <c r="D56" s="28"/>
      <c r="E56" s="29"/>
      <c r="F56" s="327"/>
      <c r="G56" s="327"/>
      <c r="H56" s="327"/>
      <c r="I56" s="324"/>
      <c r="K56" s="62"/>
      <c r="L56" s="62"/>
      <c r="M56" s="62"/>
      <c r="N56" s="62"/>
      <c r="O56" s="62"/>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c r="GX56"/>
      <c r="GY56"/>
      <c r="GZ56"/>
      <c r="HA56"/>
      <c r="HB56"/>
      <c r="HC56"/>
      <c r="HD56"/>
      <c r="HE56"/>
      <c r="HF56"/>
      <c r="HG56"/>
      <c r="HH56"/>
      <c r="HI56"/>
      <c r="HJ56"/>
      <c r="HK56"/>
      <c r="HL56"/>
      <c r="HM56"/>
      <c r="HN56"/>
      <c r="HO56"/>
      <c r="HP56"/>
      <c r="HQ56"/>
      <c r="HR56"/>
      <c r="HS56"/>
      <c r="HT56"/>
      <c r="HU56"/>
      <c r="HV56"/>
      <c r="HW56"/>
      <c r="HX56"/>
      <c r="HY56"/>
      <c r="HZ56"/>
    </row>
    <row r="57" spans="1:234" s="2" customFormat="1" ht="13">
      <c r="A57"/>
      <c r="B57" s="324"/>
      <c r="C57" s="28"/>
      <c r="D57" s="28"/>
      <c r="E57" s="29"/>
      <c r="F57" s="30"/>
      <c r="G57" s="30"/>
      <c r="H57" s="30"/>
      <c r="I57" s="22"/>
      <c r="J57" s="62"/>
      <c r="K57" s="62"/>
      <c r="L57" s="62"/>
      <c r="M57" s="62"/>
      <c r="N57" s="62"/>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c r="GX57"/>
      <c r="GY57"/>
      <c r="GZ57"/>
      <c r="HA57"/>
      <c r="HB57"/>
      <c r="HC57"/>
      <c r="HD57"/>
      <c r="HE57"/>
      <c r="HF57"/>
      <c r="HG57"/>
      <c r="HH57"/>
      <c r="HI57"/>
      <c r="HJ57"/>
      <c r="HK57"/>
      <c r="HL57"/>
      <c r="HM57"/>
      <c r="HN57"/>
      <c r="HO57"/>
      <c r="HP57"/>
      <c r="HQ57"/>
      <c r="HR57"/>
      <c r="HS57"/>
      <c r="HT57"/>
      <c r="HU57"/>
      <c r="HV57"/>
      <c r="HW57"/>
      <c r="HX57"/>
      <c r="HY57"/>
      <c r="HZ57"/>
    </row>
    <row r="58" spans="1:234" s="2" customFormat="1" ht="13">
      <c r="B58" s="32" t="s">
        <v>55</v>
      </c>
      <c r="C58" s="28"/>
      <c r="D58" s="28"/>
      <c r="E58" s="29"/>
      <c r="I58" s="22"/>
      <c r="K58" s="62"/>
      <c r="L58" s="62"/>
      <c r="M58" s="62"/>
      <c r="N58" s="62"/>
    </row>
    <row r="59" spans="1:234" s="2" customFormat="1" ht="13">
      <c r="B59" s="330" t="s">
        <v>56</v>
      </c>
      <c r="C59" s="88"/>
      <c r="D59" s="88"/>
      <c r="E59" s="331" t="s">
        <v>15</v>
      </c>
      <c r="F59" s="331">
        <f>+IF(ISERROR(F7/E7-1),0,F7/E7-1)</f>
        <v>0.59580118666559923</v>
      </c>
      <c r="G59" s="331">
        <f>+IF(ISERROR(G7/F7-1),0,G7/F7-1)</f>
        <v>0.14363580465684289</v>
      </c>
      <c r="H59" s="331"/>
      <c r="I59" s="331">
        <f>+IF(ISERROR(I7/G7-1),0,I7/G7-1)</f>
        <v>0.10298265887320945</v>
      </c>
      <c r="J59" s="332">
        <f>'AS1'!F7</f>
        <v>0.1</v>
      </c>
      <c r="K59" s="331">
        <f>'AS1'!G7</f>
        <v>9.5000000000000001E-2</v>
      </c>
      <c r="L59" s="331">
        <f>'AS1'!H7</f>
        <v>0.09</v>
      </c>
      <c r="M59" s="331">
        <f>'AS1'!I7</f>
        <v>8.7999999999999995E-2</v>
      </c>
      <c r="N59" s="333">
        <f>'AS1'!J7</f>
        <v>8.7999999999999995E-2</v>
      </c>
      <c r="O59" s="334"/>
    </row>
    <row r="60" spans="1:234" s="2" customFormat="1" ht="13">
      <c r="B60" s="335" t="s">
        <v>57</v>
      </c>
      <c r="C60" s="59"/>
      <c r="D60" s="59"/>
      <c r="E60" s="336">
        <f>+IF(ISERROR(E9/E7),0,E9/E7)</f>
        <v>0.289865984808091</v>
      </c>
      <c r="F60" s="336">
        <f t="shared" ref="F60:G60" si="9">+IF(ISERROR(F9/F7),0,F9/F7)</f>
        <v>0.30481056222858927</v>
      </c>
      <c r="G60" s="336">
        <f t="shared" si="9"/>
        <v>0.30216199364152463</v>
      </c>
      <c r="H60" s="336"/>
      <c r="I60" s="336">
        <f>+IF(ISERROR(I9/I7),0,I9/I7)</f>
        <v>0.31271082736570943</v>
      </c>
      <c r="J60" s="337">
        <f>'AS1'!F12</f>
        <v>0.315</v>
      </c>
      <c r="K60" s="336">
        <f>'AS1'!G12</f>
        <v>0.315</v>
      </c>
      <c r="L60" s="336">
        <f>'AS1'!H12</f>
        <v>0.315</v>
      </c>
      <c r="M60" s="336">
        <f>'AS1'!I12</f>
        <v>0.315</v>
      </c>
      <c r="N60" s="338">
        <f>'AS1'!J12</f>
        <v>0.315</v>
      </c>
      <c r="O60" s="334"/>
    </row>
    <row r="61" spans="1:234" s="2" customFormat="1" ht="13">
      <c r="B61" s="335" t="s">
        <v>58</v>
      </c>
      <c r="C61" s="59"/>
      <c r="D61" s="59"/>
      <c r="E61" s="336">
        <f>+IF(ISERROR(E12/E7),0,E12/E7)</f>
        <v>0.16104990775489206</v>
      </c>
      <c r="F61" s="336">
        <f>+IF(ISERROR(F12/F7),0,F12/F7)</f>
        <v>0.12260507359314753</v>
      </c>
      <c r="G61" s="336">
        <f>+IF(ISERROR(G12/G7),0,G12/G7)</f>
        <v>0.11661249703638295</v>
      </c>
      <c r="H61" s="336"/>
      <c r="I61" s="336">
        <f>+IF(ISERROR(I12/I7),0,I12/I7)</f>
        <v>0.10929256787519866</v>
      </c>
      <c r="J61" s="337">
        <f>'AS1'!F17</f>
        <v>0.1</v>
      </c>
      <c r="K61" s="336">
        <f>'AS1'!G17</f>
        <v>0.1</v>
      </c>
      <c r="L61" s="336">
        <f>'AS1'!H17</f>
        <v>0.1</v>
      </c>
      <c r="M61" s="336">
        <f>'AS1'!I17</f>
        <v>0.1</v>
      </c>
      <c r="N61" s="338">
        <f>'AS1'!J17</f>
        <v>0.1</v>
      </c>
      <c r="O61" s="334"/>
    </row>
    <row r="62" spans="1:234" s="2" customFormat="1" ht="13">
      <c r="B62" s="339" t="s">
        <v>59</v>
      </c>
      <c r="C62" s="59"/>
      <c r="D62" s="59"/>
      <c r="E62" s="336">
        <f>+IF(ISERROR(E15/E7),0,E15/E7)</f>
        <v>0.10698047606311849</v>
      </c>
      <c r="F62" s="336">
        <f>+IF(ISERROR(F15/F7),0,F15/F7)</f>
        <v>0.13239294086501305</v>
      </c>
      <c r="G62" s="336">
        <f>+IF(ISERROR(G15/G7),0,G15/G7)</f>
        <v>0.13946548482908097</v>
      </c>
      <c r="H62" s="336"/>
      <c r="I62" s="336">
        <f>+IF(ISERROR(I15/I7),0,I15/I7)</f>
        <v>0.13569623595401023</v>
      </c>
      <c r="J62" s="337">
        <f>'AS1'!F22</f>
        <v>0.13566666666666669</v>
      </c>
      <c r="K62" s="336">
        <f>'AS1'!G22</f>
        <v>0.13566666666666669</v>
      </c>
      <c r="L62" s="336">
        <f>'AS1'!H22</f>
        <v>0.13566666666666669</v>
      </c>
      <c r="M62" s="336">
        <f>'AS1'!I22</f>
        <v>0.13566666666666669</v>
      </c>
      <c r="N62" s="338">
        <f>'AS1'!J22</f>
        <v>0.13566666666666669</v>
      </c>
      <c r="O62" s="334"/>
    </row>
    <row r="63" spans="1:234" s="2" customFormat="1" ht="13">
      <c r="B63" s="335" t="s">
        <v>60</v>
      </c>
      <c r="C63" s="59"/>
      <c r="D63" s="59"/>
      <c r="E63" s="336">
        <f>+IF(ISERROR(-E22/E7),0,-E22/E7)</f>
        <v>9.211564112479409E-2</v>
      </c>
      <c r="F63" s="336">
        <f>+IF(ISERROR(-F22/F7),0,-F22/F7)</f>
        <v>0.10681040850922102</v>
      </c>
      <c r="G63" s="336">
        <f>+IF(ISERROR(-G22/G7),0,-G22/G7)</f>
        <v>0.12693241833018148</v>
      </c>
      <c r="H63" s="336"/>
      <c r="I63" s="336">
        <f>+IF(ISERROR(-I22/I7),0,-I22/I7)</f>
        <v>0.13122369153745514</v>
      </c>
      <c r="J63" s="337">
        <f>'AS1'!F28</f>
        <v>0.11735788963511734</v>
      </c>
      <c r="K63" s="336">
        <f>'AS1'!G28</f>
        <v>0.11068897546586409</v>
      </c>
      <c r="L63" s="336">
        <f>'AS1'!H28</f>
        <v>0.10477228992092917</v>
      </c>
      <c r="M63" s="336">
        <f>'AS1'!I28</f>
        <v>9.926016642080536E-2</v>
      </c>
      <c r="N63" s="338">
        <f>'AS1'!J28</f>
        <v>9.395429434974395E-2</v>
      </c>
      <c r="O63" s="340"/>
    </row>
    <row r="64" spans="1:234" s="2" customFormat="1" ht="13">
      <c r="B64" s="335" t="s">
        <v>61</v>
      </c>
      <c r="C64" s="59"/>
      <c r="D64" s="59"/>
      <c r="E64" s="204">
        <v>0.109</v>
      </c>
      <c r="F64" s="204">
        <v>0.313</v>
      </c>
      <c r="G64" s="204">
        <v>0.28199999999999997</v>
      </c>
      <c r="H64" s="336"/>
      <c r="I64" s="204">
        <v>0.27700000000000002</v>
      </c>
      <c r="J64" s="337">
        <f>I64</f>
        <v>0.27700000000000002</v>
      </c>
      <c r="K64" s="336">
        <f>J64</f>
        <v>0.27700000000000002</v>
      </c>
      <c r="L64" s="336">
        <f>K64</f>
        <v>0.27700000000000002</v>
      </c>
      <c r="M64" s="336">
        <f>L64</f>
        <v>0.27700000000000002</v>
      </c>
      <c r="N64" s="338">
        <f>M64</f>
        <v>0.27700000000000002</v>
      </c>
      <c r="O64" s="340"/>
    </row>
    <row r="65" spans="1:234" s="2" customFormat="1" ht="13">
      <c r="B65" s="341" t="s">
        <v>62</v>
      </c>
      <c r="C65" s="89"/>
      <c r="D65" s="89"/>
      <c r="E65" s="90"/>
      <c r="F65" s="342"/>
      <c r="G65" s="342"/>
      <c r="H65" s="342"/>
      <c r="I65" s="343"/>
      <c r="J65" s="344">
        <f>NWC!G23</f>
        <v>-5.6060377912830778E-2</v>
      </c>
      <c r="K65" s="345">
        <f>NWC!H23</f>
        <v>-5.6060377912830771E-2</v>
      </c>
      <c r="L65" s="345">
        <f>NWC!I23</f>
        <v>-5.6060377912830778E-2</v>
      </c>
      <c r="M65" s="345">
        <f>NWC!J23</f>
        <v>-5.6060377912830757E-2</v>
      </c>
      <c r="N65" s="346">
        <f>NWC!K23</f>
        <v>-5.6060377912830785E-2</v>
      </c>
      <c r="O65" s="62"/>
    </row>
    <row r="66" spans="1:234" s="2" customFormat="1" ht="13">
      <c r="A66"/>
      <c r="B66" s="324"/>
      <c r="C66" s="28"/>
      <c r="D66" s="28"/>
      <c r="E66" s="29"/>
      <c r="F66" s="327"/>
      <c r="G66" s="327"/>
      <c r="H66" s="327"/>
      <c r="I66" s="324"/>
      <c r="K66" s="62"/>
      <c r="L66" s="62"/>
      <c r="M66" s="62"/>
      <c r="N66" s="62"/>
      <c r="O66" s="62"/>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c r="GX66"/>
      <c r="GY66"/>
      <c r="GZ66"/>
      <c r="HA66"/>
      <c r="HB66"/>
      <c r="HC66"/>
      <c r="HD66"/>
      <c r="HE66"/>
      <c r="HF66"/>
      <c r="HG66"/>
      <c r="HH66"/>
      <c r="HI66"/>
      <c r="HJ66"/>
      <c r="HK66"/>
      <c r="HL66"/>
      <c r="HM66"/>
      <c r="HN66"/>
      <c r="HO66"/>
      <c r="HP66"/>
      <c r="HQ66"/>
      <c r="HR66"/>
      <c r="HS66"/>
      <c r="HT66"/>
      <c r="HU66"/>
      <c r="HV66"/>
      <c r="HW66"/>
      <c r="HX66"/>
      <c r="HY66"/>
      <c r="HZ66"/>
    </row>
    <row r="67" spans="1:234" s="2" customFormat="1" ht="13">
      <c r="A67"/>
      <c r="B67" s="328"/>
      <c r="C67" s="177"/>
      <c r="D67" s="177"/>
      <c r="E67" s="178"/>
      <c r="F67" s="329"/>
      <c r="G67" s="329"/>
      <c r="H67" s="329"/>
      <c r="I67" s="328"/>
      <c r="J67" s="179"/>
      <c r="K67" s="180"/>
      <c r="L67" s="180"/>
      <c r="M67" s="180"/>
      <c r="N67" s="180"/>
      <c r="O67" s="180"/>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c r="GX67"/>
      <c r="GY67"/>
      <c r="GZ67"/>
      <c r="HA67"/>
      <c r="HB67"/>
      <c r="HC67"/>
      <c r="HD67"/>
      <c r="HE67"/>
      <c r="HF67"/>
      <c r="HG67"/>
      <c r="HH67"/>
      <c r="HI67"/>
      <c r="HJ67"/>
      <c r="HK67"/>
      <c r="HL67"/>
      <c r="HM67"/>
      <c r="HN67"/>
      <c r="HO67"/>
      <c r="HP67"/>
      <c r="HQ67"/>
      <c r="HR67"/>
      <c r="HS67"/>
      <c r="HT67"/>
      <c r="HU67"/>
      <c r="HV67"/>
      <c r="HW67"/>
      <c r="HX67"/>
      <c r="HY67"/>
      <c r="HZ67"/>
    </row>
    <row r="68" spans="1:234" s="2" customFormat="1" ht="13">
      <c r="A68"/>
      <c r="B68" s="324"/>
      <c r="C68" s="28"/>
      <c r="D68" s="28"/>
      <c r="E68" s="29"/>
      <c r="F68" s="327"/>
      <c r="G68" s="327"/>
      <c r="H68" s="327"/>
      <c r="I68" s="324"/>
      <c r="K68" s="62"/>
      <c r="L68" s="62"/>
      <c r="M68" s="62"/>
      <c r="N68" s="62"/>
      <c r="O68" s="62"/>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c r="GX68"/>
      <c r="GY68"/>
      <c r="GZ68"/>
      <c r="HA68"/>
      <c r="HB68"/>
      <c r="HC68"/>
      <c r="HD68"/>
      <c r="HE68"/>
      <c r="HF68"/>
      <c r="HG68"/>
      <c r="HH68"/>
      <c r="HI68"/>
      <c r="HJ68"/>
      <c r="HK68"/>
      <c r="HL68"/>
      <c r="HM68"/>
      <c r="HN68"/>
      <c r="HO68"/>
      <c r="HP68"/>
      <c r="HQ68"/>
      <c r="HR68"/>
      <c r="HS68"/>
      <c r="HT68"/>
      <c r="HU68"/>
      <c r="HV68"/>
      <c r="HW68"/>
      <c r="HX68"/>
      <c r="HY68"/>
      <c r="HZ68"/>
    </row>
    <row r="69" spans="1:234" s="2" customFormat="1" ht="13">
      <c r="A69"/>
      <c r="B69" s="324"/>
      <c r="C69" s="28"/>
      <c r="D69" s="28"/>
      <c r="E69" s="29"/>
      <c r="F69" s="30"/>
      <c r="G69" s="30"/>
      <c r="H69" s="30"/>
      <c r="I69" s="22"/>
      <c r="J69" s="62"/>
      <c r="K69" s="62"/>
      <c r="L69" s="62"/>
      <c r="M69" s="62"/>
      <c r="N69" s="62"/>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c r="GX69"/>
      <c r="GY69"/>
      <c r="GZ69"/>
      <c r="HA69"/>
      <c r="HB69"/>
      <c r="HC69"/>
      <c r="HD69"/>
      <c r="HE69"/>
      <c r="HF69"/>
      <c r="HG69"/>
      <c r="HH69"/>
      <c r="HI69"/>
      <c r="HJ69"/>
      <c r="HK69"/>
      <c r="HL69"/>
      <c r="HM69"/>
      <c r="HN69"/>
      <c r="HO69"/>
      <c r="HP69"/>
      <c r="HQ69"/>
      <c r="HR69"/>
      <c r="HS69"/>
      <c r="HT69"/>
      <c r="HU69"/>
      <c r="HV69"/>
      <c r="HW69"/>
      <c r="HX69"/>
      <c r="HY69"/>
      <c r="HZ69"/>
    </row>
    <row r="70" spans="1:234" ht="23">
      <c r="A70" s="2"/>
      <c r="B70" s="104" t="str">
        <f>+B1</f>
        <v>Planet Fitness, Inc.</v>
      </c>
      <c r="C70" s="108"/>
      <c r="D70" s="108"/>
      <c r="E70" s="108"/>
      <c r="F70" s="108"/>
      <c r="G70" s="108"/>
      <c r="H70" s="108"/>
      <c r="I70" s="108"/>
      <c r="J70" s="108"/>
      <c r="K70" s="108"/>
      <c r="L70" s="108"/>
      <c r="M70" s="108"/>
      <c r="N70" s="108"/>
      <c r="O70" s="108"/>
      <c r="P70" s="17"/>
    </row>
    <row r="71" spans="1:234" ht="20">
      <c r="B71" s="105" t="s">
        <v>63</v>
      </c>
      <c r="C71" s="108"/>
      <c r="D71" s="108"/>
      <c r="E71" s="108"/>
      <c r="F71" s="108"/>
      <c r="G71" s="108"/>
      <c r="H71" s="108"/>
      <c r="I71" s="108"/>
      <c r="J71" s="108"/>
      <c r="K71" s="108"/>
      <c r="L71" s="108"/>
      <c r="M71" s="108"/>
      <c r="N71" s="108"/>
      <c r="O71" s="108"/>
      <c r="P71" s="17"/>
    </row>
    <row r="72" spans="1:234" ht="13.5" thickBot="1">
      <c r="B72" s="111" t="s">
        <v>4</v>
      </c>
      <c r="C72" s="112"/>
      <c r="D72" s="112"/>
      <c r="E72" s="112"/>
      <c r="F72" s="112"/>
      <c r="G72" s="112"/>
      <c r="H72" s="112"/>
      <c r="I72" s="112"/>
      <c r="J72" s="112"/>
      <c r="K72" s="112"/>
      <c r="L72" s="112"/>
      <c r="M72" s="113"/>
      <c r="N72" s="112"/>
      <c r="O72" s="114"/>
      <c r="P72" s="17"/>
    </row>
    <row r="73" spans="1:234">
      <c r="B73" s="506"/>
      <c r="C73" s="506"/>
      <c r="D73" s="506"/>
      <c r="E73" s="506"/>
      <c r="F73" s="506"/>
      <c r="G73" s="506"/>
      <c r="H73" s="506"/>
      <c r="I73" s="506"/>
      <c r="J73" s="506"/>
      <c r="K73" s="506"/>
      <c r="L73" s="506"/>
      <c r="M73" s="506"/>
      <c r="N73" s="506"/>
      <c r="O73" s="506"/>
    </row>
    <row r="74" spans="1:234">
      <c r="B74" s="506"/>
      <c r="C74" s="506"/>
      <c r="D74" s="506"/>
      <c r="E74" s="506"/>
      <c r="F74" s="506"/>
      <c r="G74" s="506"/>
      <c r="H74" s="506"/>
      <c r="I74" s="506"/>
      <c r="J74" s="506"/>
      <c r="K74" s="506"/>
      <c r="L74" s="506"/>
      <c r="M74" s="506"/>
      <c r="N74" s="506"/>
      <c r="O74" s="506"/>
    </row>
    <row r="75" spans="1:234" ht="13">
      <c r="B75" s="423"/>
      <c r="C75" s="116" t="s">
        <v>33</v>
      </c>
      <c r="D75" s="117"/>
      <c r="E75" s="117"/>
      <c r="F75" s="117"/>
      <c r="G75" s="117"/>
      <c r="H75" s="119"/>
      <c r="I75" s="509"/>
      <c r="J75" s="116" t="s">
        <v>64</v>
      </c>
      <c r="K75" s="117"/>
      <c r="L75" s="117"/>
      <c r="M75" s="117"/>
      <c r="N75" s="117"/>
      <c r="O75" s="119"/>
    </row>
    <row r="76" spans="1:234" s="506" customFormat="1" ht="13">
      <c r="B76" s="489"/>
      <c r="C76" s="423"/>
      <c r="D76" s="524" t="s">
        <v>42</v>
      </c>
      <c r="E76" s="524"/>
      <c r="F76" s="524"/>
      <c r="G76" s="524"/>
      <c r="H76" s="524"/>
      <c r="I76" s="489"/>
      <c r="J76" s="423"/>
      <c r="K76" s="524" t="s">
        <v>42</v>
      </c>
      <c r="L76" s="524"/>
      <c r="M76" s="524"/>
      <c r="N76" s="524"/>
      <c r="O76" s="524"/>
      <c r="P76" s="423"/>
      <c r="Q76" s="525"/>
      <c r="R76" s="525"/>
      <c r="S76" s="525"/>
      <c r="T76" s="525"/>
      <c r="U76" s="525"/>
    </row>
    <row r="77" spans="1:234" ht="13">
      <c r="B77" s="489"/>
      <c r="C77" s="68">
        <f>E43</f>
        <v>9583755.8415998966</v>
      </c>
      <c r="D77" s="77">
        <f>+E77-0.5</f>
        <v>9.49</v>
      </c>
      <c r="E77" s="77">
        <f>+F77-0.5</f>
        <v>9.99</v>
      </c>
      <c r="F77" s="78">
        <v>10.49</v>
      </c>
      <c r="G77" s="77">
        <f>+F77+0.5</f>
        <v>10.99</v>
      </c>
      <c r="H77" s="77">
        <f>+G77+0.5</f>
        <v>11.49</v>
      </c>
      <c r="I77" s="492"/>
      <c r="J77" s="68">
        <f>J39</f>
        <v>7301045.8415998966</v>
      </c>
      <c r="K77" s="77">
        <f>+L77-0.5</f>
        <v>9.49</v>
      </c>
      <c r="L77" s="77">
        <f>+M77-0.5</f>
        <v>9.99</v>
      </c>
      <c r="M77" s="78">
        <v>10.49</v>
      </c>
      <c r="N77" s="77">
        <f>+M77+0.5</f>
        <v>10.99</v>
      </c>
      <c r="O77" s="77">
        <f>+N77+0.5</f>
        <v>11.49</v>
      </c>
    </row>
    <row r="78" spans="1:234" ht="13">
      <c r="B78" s="568" t="s">
        <v>38</v>
      </c>
      <c r="C78" s="69">
        <f>+C79-0.005</f>
        <v>8.0397061353794083E-2</v>
      </c>
      <c r="D78" s="526">
        <f t="dataTable" ref="D78:H82" dt2D="1" dtr="0" r1="E37" r2="E26" ca="1"/>
        <v>9251891.2028818168</v>
      </c>
      <c r="E78" s="528">
        <v>9616805.0315729901</v>
      </c>
      <c r="F78" s="528">
        <v>9981718.8602641635</v>
      </c>
      <c r="G78" s="528">
        <v>10346632.688955337</v>
      </c>
      <c r="H78" s="528">
        <v>10711546.517646512</v>
      </c>
      <c r="I78" s="568" t="s">
        <v>38</v>
      </c>
      <c r="J78" s="69">
        <f>+J79-0.005</f>
        <v>8.0397061353794083E-2</v>
      </c>
      <c r="K78" s="526">
        <f t="dataTable" ref="K78:O82" dt2D="1" dtr="0" r1="E37" r2="E26" ca="1"/>
        <v>6969181.2028818168</v>
      </c>
      <c r="L78" s="528">
        <v>7334095.0315729901</v>
      </c>
      <c r="M78" s="528">
        <v>7699008.8602641635</v>
      </c>
      <c r="N78" s="528">
        <v>8063922.6889553368</v>
      </c>
      <c r="O78" s="528">
        <v>8428836.517646512</v>
      </c>
    </row>
    <row r="79" spans="1:234" ht="13">
      <c r="B79" s="568"/>
      <c r="C79" s="69">
        <f>+C80-0.005</f>
        <v>8.5397061353794088E-2</v>
      </c>
      <c r="D79" s="527">
        <v>9441857.9039285406</v>
      </c>
      <c r="E79" s="120">
        <v>9815334.2196645513</v>
      </c>
      <c r="F79" s="120">
        <v>10188810.53540056</v>
      </c>
      <c r="G79" s="120">
        <v>10562286.851136571</v>
      </c>
      <c r="H79" s="511">
        <v>10935763.166872583</v>
      </c>
      <c r="I79" s="568"/>
      <c r="J79" s="69">
        <f>+J80-0.005</f>
        <v>8.5397061353794088E-2</v>
      </c>
      <c r="K79" s="527">
        <v>7159147.9039285406</v>
      </c>
      <c r="L79" s="120">
        <v>7532624.2196645513</v>
      </c>
      <c r="M79" s="120">
        <v>7906100.5354005601</v>
      </c>
      <c r="N79" s="120">
        <v>8279576.8511365708</v>
      </c>
      <c r="O79" s="511">
        <v>8653053.1668725833</v>
      </c>
    </row>
    <row r="80" spans="1:234" ht="13">
      <c r="B80" s="568"/>
      <c r="C80" s="70">
        <f>E26</f>
        <v>9.0397061353794092E-2</v>
      </c>
      <c r="D80" s="527">
        <v>9441857.9039285406</v>
      </c>
      <c r="E80" s="120">
        <v>9815334.2196645513</v>
      </c>
      <c r="F80" s="71">
        <v>10188810.53540056</v>
      </c>
      <c r="G80" s="120">
        <v>10562286.851136571</v>
      </c>
      <c r="H80" s="511">
        <v>10935763.166872583</v>
      </c>
      <c r="I80" s="568"/>
      <c r="J80" s="70">
        <f>E26</f>
        <v>9.0397061353794092E-2</v>
      </c>
      <c r="K80" s="527">
        <v>7159147.9039285406</v>
      </c>
      <c r="L80" s="120">
        <v>7532624.2196645513</v>
      </c>
      <c r="M80" s="71">
        <v>7906100.5354005601</v>
      </c>
      <c r="N80" s="120">
        <v>8279576.8511365708</v>
      </c>
      <c r="O80" s="511">
        <v>8653053.1668725833</v>
      </c>
    </row>
    <row r="81" spans="2:24" ht="13">
      <c r="B81" s="568"/>
      <c r="C81" s="69">
        <f>+C80+0.005</f>
        <v>9.5397061353794096E-2</v>
      </c>
      <c r="D81" s="527">
        <v>9251891.2028818168</v>
      </c>
      <c r="E81" s="120">
        <v>9616805.0315729901</v>
      </c>
      <c r="F81" s="120">
        <v>9981718.8602641635</v>
      </c>
      <c r="G81" s="120">
        <v>10346632.688955337</v>
      </c>
      <c r="H81" s="511">
        <v>10711546.517646512</v>
      </c>
      <c r="I81" s="568"/>
      <c r="J81" s="69">
        <f>+J80+0.005</f>
        <v>9.5397061353794096E-2</v>
      </c>
      <c r="K81" s="527">
        <v>6969181.2028818168</v>
      </c>
      <c r="L81" s="120">
        <v>7334095.0315729901</v>
      </c>
      <c r="M81" s="120">
        <v>7699008.8602641635</v>
      </c>
      <c r="N81" s="120">
        <v>8063922.6889553368</v>
      </c>
      <c r="O81" s="511">
        <v>8428836.517646512</v>
      </c>
    </row>
    <row r="82" spans="2:24" ht="13">
      <c r="B82" s="568"/>
      <c r="C82" s="69">
        <f>+C81+0.005</f>
        <v>0.1003970613537941</v>
      </c>
      <c r="D82" s="527">
        <v>8886786.0958390813</v>
      </c>
      <c r="E82" s="511">
        <v>9235270.9687194899</v>
      </c>
      <c r="F82" s="511">
        <v>9583755.8415998966</v>
      </c>
      <c r="G82" s="511">
        <v>9932240.7144803032</v>
      </c>
      <c r="H82" s="511">
        <v>10280725.58736071</v>
      </c>
      <c r="I82" s="568"/>
      <c r="J82" s="69">
        <f>+J81+0.005</f>
        <v>0.1003970613537941</v>
      </c>
      <c r="K82" s="527">
        <v>6604076.0958390813</v>
      </c>
      <c r="L82" s="511">
        <v>6952560.9687194899</v>
      </c>
      <c r="M82" s="511">
        <v>7301045.8415998966</v>
      </c>
      <c r="N82" s="511">
        <v>7649530.7144803032</v>
      </c>
      <c r="O82" s="511">
        <v>7998015.5873607099</v>
      </c>
    </row>
    <row r="83" spans="2:24">
      <c r="B83" s="506"/>
      <c r="C83" s="506"/>
      <c r="D83" s="506"/>
      <c r="E83" s="506"/>
      <c r="F83" s="506"/>
      <c r="G83" s="506"/>
      <c r="H83" s="506"/>
      <c r="I83" s="506"/>
      <c r="J83" s="506"/>
      <c r="K83" s="506"/>
      <c r="L83" s="506"/>
      <c r="M83" s="506"/>
      <c r="N83" s="506"/>
      <c r="O83" s="506"/>
    </row>
    <row r="84" spans="2:24">
      <c r="B84" s="506"/>
      <c r="C84" s="506"/>
      <c r="D84" s="506"/>
      <c r="E84" s="506"/>
      <c r="F84" s="506"/>
      <c r="G84" s="506"/>
      <c r="H84" s="506"/>
      <c r="I84" s="506"/>
      <c r="J84" s="506"/>
      <c r="K84" s="506"/>
      <c r="L84" s="506"/>
      <c r="M84" s="506"/>
      <c r="N84" s="506"/>
      <c r="O84" s="506"/>
    </row>
    <row r="85" spans="2:24" ht="13">
      <c r="B85" s="492"/>
      <c r="C85" s="116" t="s">
        <v>35</v>
      </c>
      <c r="D85" s="117"/>
      <c r="E85" s="117"/>
      <c r="F85" s="117"/>
      <c r="G85" s="117"/>
      <c r="H85" s="118"/>
      <c r="I85" s="489"/>
      <c r="J85" s="569" t="s">
        <v>65</v>
      </c>
      <c r="K85" s="569"/>
      <c r="L85" s="569"/>
      <c r="M85" s="569"/>
      <c r="N85" s="569"/>
      <c r="O85" s="569"/>
    </row>
    <row r="86" spans="2:24" s="506" customFormat="1" ht="13">
      <c r="B86" s="492"/>
      <c r="C86" s="423"/>
      <c r="D86" s="524" t="s">
        <v>42</v>
      </c>
      <c r="E86" s="524"/>
      <c r="F86" s="524"/>
      <c r="G86" s="524"/>
      <c r="H86" s="524"/>
      <c r="I86" s="489"/>
      <c r="J86" s="423"/>
      <c r="K86" s="524" t="s">
        <v>42</v>
      </c>
      <c r="L86" s="524"/>
      <c r="M86" s="524"/>
      <c r="N86" s="524"/>
      <c r="O86" s="524"/>
      <c r="P86" s="423"/>
      <c r="Q86" s="525"/>
      <c r="R86" s="525"/>
      <c r="S86" s="525"/>
      <c r="T86" s="525"/>
      <c r="U86" s="525"/>
    </row>
    <row r="87" spans="2:24" ht="13">
      <c r="B87" s="492"/>
      <c r="C87" s="68">
        <f>O37</f>
        <v>2.5629211038885106E-2</v>
      </c>
      <c r="D87" s="77">
        <f>+E87-0.5</f>
        <v>9.49</v>
      </c>
      <c r="E87" s="77">
        <f>+F87-0.5</f>
        <v>9.99</v>
      </c>
      <c r="F87" s="78">
        <v>10.49</v>
      </c>
      <c r="G87" s="77">
        <f>+F87+0.5</f>
        <v>10.99</v>
      </c>
      <c r="H87" s="77">
        <f>+G87+0.5</f>
        <v>11.49</v>
      </c>
      <c r="I87" s="489"/>
      <c r="J87" s="68">
        <f>O43</f>
        <v>19.650521501711872</v>
      </c>
      <c r="K87" s="77">
        <f>+L87-0.5</f>
        <v>6.5</v>
      </c>
      <c r="L87" s="77">
        <v>7</v>
      </c>
      <c r="M87" s="78">
        <v>10.49</v>
      </c>
      <c r="N87" s="77">
        <f>+M87+0.5</f>
        <v>10.99</v>
      </c>
      <c r="O87" s="77">
        <f>+N87+0.5</f>
        <v>11.49</v>
      </c>
    </row>
    <row r="88" spans="2:24" ht="13">
      <c r="B88" s="568" t="s">
        <v>38</v>
      </c>
      <c r="C88" s="69">
        <f>+C89-0.005</f>
        <v>8.0397061353794083E-2</v>
      </c>
      <c r="D88" s="529">
        <f t="dataTable" ref="D88:H92" dt2D="1" dtr="0" r1="E37" r2="E26" ca="1"/>
        <v>1.0205112586434062E-2</v>
      </c>
      <c r="E88" s="531">
        <v>1.3500697254535635E-2</v>
      </c>
      <c r="F88" s="531">
        <v>1.650069768414418E-2</v>
      </c>
      <c r="G88" s="531">
        <v>1.9243173916655615E-2</v>
      </c>
      <c r="H88" s="531">
        <v>2.1759920652767273E-2</v>
      </c>
      <c r="I88" s="568" t="s">
        <v>38</v>
      </c>
      <c r="J88" s="69">
        <f>+J89-0.005</f>
        <v>8.0397061353794083E-2</v>
      </c>
      <c r="K88" s="532">
        <f t="dataTable" ref="K88:O92" dt2D="1" dtr="0" r1="E37" r2="E26" ca="1"/>
        <v>14.495717757086373</v>
      </c>
      <c r="L88" s="535">
        <v>15.243936634474931</v>
      </c>
      <c r="M88" s="535">
        <v>20.466504398647071</v>
      </c>
      <c r="N88" s="535">
        <v>21.214723276035631</v>
      </c>
      <c r="O88" s="535">
        <v>21.962942153424191</v>
      </c>
    </row>
    <row r="89" spans="2:24" ht="13">
      <c r="B89" s="568"/>
      <c r="C89" s="69">
        <f>+C90-0.005</f>
        <v>8.5397061353794088E-2</v>
      </c>
      <c r="D89" s="530">
        <v>5.6813204598885223E-3</v>
      </c>
      <c r="E89" s="121">
        <v>8.9550162637321261E-3</v>
      </c>
      <c r="F89" s="121">
        <v>1.1935050828334133E-2</v>
      </c>
      <c r="G89" s="121">
        <v>1.4659241544685016E-2</v>
      </c>
      <c r="H89" s="517">
        <v>1.7159179624691382E-2</v>
      </c>
      <c r="I89" s="568"/>
      <c r="J89" s="69">
        <f>+J90-0.005</f>
        <v>8.5397061353794088E-2</v>
      </c>
      <c r="K89" s="533">
        <v>14.780237304601494</v>
      </c>
      <c r="L89" s="122">
        <v>15.546012695173783</v>
      </c>
      <c r="M89" s="122">
        <v>20.891124921368355</v>
      </c>
      <c r="N89" s="122">
        <v>21.656900311940642</v>
      </c>
      <c r="O89" s="534">
        <v>22.422675702512933</v>
      </c>
    </row>
    <row r="90" spans="2:24" ht="13">
      <c r="B90" s="568"/>
      <c r="C90" s="70">
        <f>E26</f>
        <v>9.0397061353794092E-2</v>
      </c>
      <c r="D90" s="530">
        <v>5.6813204598885223E-3</v>
      </c>
      <c r="E90" s="121">
        <v>8.9550162637321261E-3</v>
      </c>
      <c r="F90" s="79">
        <v>1.1935050828334133E-2</v>
      </c>
      <c r="G90" s="121">
        <v>1.4659241544685016E-2</v>
      </c>
      <c r="H90" s="517">
        <v>1.7159179624691382E-2</v>
      </c>
      <c r="I90" s="568"/>
      <c r="J90" s="70">
        <f>E26</f>
        <v>9.0397061353794092E-2</v>
      </c>
      <c r="K90" s="533">
        <v>14.780237304601494</v>
      </c>
      <c r="L90" s="122">
        <v>15.546012695173783</v>
      </c>
      <c r="M90" s="81">
        <v>20.891124921368355</v>
      </c>
      <c r="N90" s="122">
        <v>21.656900311940642</v>
      </c>
      <c r="O90" s="534">
        <v>22.422675702512933</v>
      </c>
    </row>
    <row r="91" spans="2:24" ht="13">
      <c r="B91" s="568"/>
      <c r="C91" s="69">
        <f>+C90+0.005</f>
        <v>9.5397061353794096E-2</v>
      </c>
      <c r="D91" s="530">
        <v>1.0205112586434062E-2</v>
      </c>
      <c r="E91" s="121">
        <v>1.3500697254535635E-2</v>
      </c>
      <c r="F91" s="121">
        <v>1.650069768414418E-2</v>
      </c>
      <c r="G91" s="121">
        <v>1.9243173916655615E-2</v>
      </c>
      <c r="H91" s="517">
        <v>2.1759920652767273E-2</v>
      </c>
      <c r="I91" s="568"/>
      <c r="J91" s="69">
        <f>+J90+0.005</f>
        <v>9.5397061353794096E-2</v>
      </c>
      <c r="K91" s="533">
        <v>14.495717757086373</v>
      </c>
      <c r="L91" s="122">
        <v>15.243936634474931</v>
      </c>
      <c r="M91" s="122">
        <v>20.466504398647071</v>
      </c>
      <c r="N91" s="122">
        <v>21.214723276035631</v>
      </c>
      <c r="O91" s="534">
        <v>21.962942153424191</v>
      </c>
    </row>
    <row r="92" spans="2:24" ht="13">
      <c r="B92" s="568"/>
      <c r="C92" s="69">
        <f>+C91+0.005</f>
        <v>0.1003970613537941</v>
      </c>
      <c r="D92" s="530">
        <v>1.924967376724715E-2</v>
      </c>
      <c r="E92" s="517">
        <v>2.2589162539044274E-2</v>
      </c>
      <c r="F92" s="517">
        <v>2.5629211038885106E-2</v>
      </c>
      <c r="G92" s="517">
        <v>2.8408365744856445E-2</v>
      </c>
      <c r="H92" s="517">
        <v>3.0958829308197992E-2</v>
      </c>
      <c r="I92" s="568"/>
      <c r="J92" s="69">
        <f>+J91+0.005</f>
        <v>0.1003970613537941</v>
      </c>
      <c r="K92" s="533">
        <v>13.948548432499328</v>
      </c>
      <c r="L92" s="534">
        <v>14.663081398566064</v>
      </c>
      <c r="M92" s="534">
        <v>19.650521501711872</v>
      </c>
      <c r="N92" s="534">
        <v>20.365054467778606</v>
      </c>
      <c r="O92" s="534">
        <v>21.079587433845337</v>
      </c>
    </row>
    <row r="93" spans="2:24" s="506" customFormat="1" ht="13">
      <c r="B93" s="509"/>
      <c r="C93" s="510"/>
      <c r="D93" s="511"/>
      <c r="E93" s="511"/>
      <c r="F93" s="511"/>
      <c r="G93" s="511"/>
      <c r="H93" s="511"/>
      <c r="P93" s="423"/>
      <c r="Q93" s="525"/>
      <c r="R93" s="525"/>
      <c r="S93" s="525"/>
      <c r="T93" s="525"/>
      <c r="U93" s="525"/>
    </row>
    <row r="94" spans="2:24" s="506" customFormat="1">
      <c r="O94" s="423"/>
      <c r="P94" s="423"/>
      <c r="Q94" s="525"/>
      <c r="R94" s="525"/>
      <c r="S94" s="525"/>
      <c r="T94" s="525"/>
    </row>
    <row r="95" spans="2:24" ht="13">
      <c r="B95" s="423"/>
      <c r="C95" s="512"/>
      <c r="D95" s="513"/>
      <c r="E95" s="492"/>
      <c r="F95" s="569" t="s">
        <v>66</v>
      </c>
      <c r="G95" s="569"/>
      <c r="H95" s="569"/>
      <c r="I95" s="569"/>
      <c r="J95" s="569"/>
      <c r="K95" s="569"/>
      <c r="L95" s="506"/>
      <c r="M95" s="506"/>
      <c r="N95" s="506"/>
      <c r="O95" s="506"/>
      <c r="P95" s="18"/>
      <c r="V95" s="17"/>
      <c r="W95" s="17"/>
      <c r="X95" s="17"/>
    </row>
    <row r="96" spans="2:24" s="506" customFormat="1" ht="13">
      <c r="B96" s="423"/>
      <c r="C96" s="423"/>
      <c r="D96" s="514"/>
      <c r="E96" s="489"/>
      <c r="F96" s="423"/>
      <c r="G96" s="538"/>
      <c r="H96" s="538"/>
      <c r="I96" s="538" t="s">
        <v>42</v>
      </c>
      <c r="J96" s="524"/>
      <c r="K96" s="524"/>
      <c r="Q96" s="525"/>
      <c r="R96" s="525"/>
      <c r="S96" s="525"/>
      <c r="T96" s="525"/>
      <c r="U96" s="525"/>
      <c r="V96" s="525"/>
      <c r="W96" s="525"/>
      <c r="X96" s="525"/>
    </row>
    <row r="97" spans="1:234" ht="13">
      <c r="B97" s="515"/>
      <c r="C97" s="516"/>
      <c r="D97" s="515"/>
      <c r="E97" s="489"/>
      <c r="F97" s="68">
        <f>E41</f>
        <v>0.76287551079874105</v>
      </c>
      <c r="G97" s="77">
        <f>+H97-0.5</f>
        <v>9.49</v>
      </c>
      <c r="H97" s="77">
        <f>+I97-0.5</f>
        <v>9.99</v>
      </c>
      <c r="I97" s="78">
        <v>10.49</v>
      </c>
      <c r="J97" s="77">
        <f>+I97+0.5</f>
        <v>10.99</v>
      </c>
      <c r="K97" s="77">
        <f>+J97+0.5</f>
        <v>11.49</v>
      </c>
      <c r="L97" s="506"/>
      <c r="M97" s="506"/>
      <c r="N97" s="506"/>
      <c r="O97" s="506"/>
      <c r="P97" s="18"/>
      <c r="V97" s="17"/>
      <c r="W97" s="17"/>
      <c r="X97" s="17"/>
    </row>
    <row r="98" spans="1:234" ht="12.75" customHeight="1">
      <c r="B98" s="568"/>
      <c r="C98" s="510"/>
      <c r="D98" s="517"/>
      <c r="E98" s="568" t="s">
        <v>38</v>
      </c>
      <c r="F98" s="69">
        <f>+F99-0.005</f>
        <v>8.0397061353794083E-2</v>
      </c>
      <c r="G98" s="529">
        <f t="dataTable" ref="G98:K102" dt2D="1" dtr="0" r1="E37" r2="E26" ca="1"/>
        <v>0.74861066961110889</v>
      </c>
      <c r="H98" s="531">
        <v>0.75814974654395129</v>
      </c>
      <c r="I98" s="531">
        <v>0.7669913602173144</v>
      </c>
      <c r="J98" s="531">
        <v>0.77520930681089428</v>
      </c>
      <c r="K98" s="531">
        <v>0.78286732634809575</v>
      </c>
      <c r="L98" s="506"/>
      <c r="M98" s="506"/>
      <c r="N98" s="506"/>
      <c r="O98" s="506"/>
      <c r="P98" s="18"/>
      <c r="V98" s="17"/>
      <c r="W98" s="17"/>
      <c r="X98" s="17"/>
    </row>
    <row r="99" spans="1:234" ht="13">
      <c r="B99" s="568"/>
      <c r="C99" s="510"/>
      <c r="D99" s="517"/>
      <c r="E99" s="568"/>
      <c r="F99" s="69">
        <f>+F100-0.005</f>
        <v>8.5397061353794088E-2</v>
      </c>
      <c r="G99" s="530">
        <v>0.75076118967222416</v>
      </c>
      <c r="H99" s="121">
        <v>0.76024479874109863</v>
      </c>
      <c r="I99" s="121">
        <v>0.7690331542545914</v>
      </c>
      <c r="J99" s="121">
        <v>0.77720000749593088</v>
      </c>
      <c r="K99" s="517">
        <v>0.78480903478343633</v>
      </c>
      <c r="L99" s="506"/>
      <c r="M99" s="506"/>
      <c r="N99" s="506"/>
      <c r="O99" s="506"/>
      <c r="P99" s="18"/>
      <c r="V99" s="17"/>
      <c r="W99" s="17"/>
      <c r="X99" s="17"/>
    </row>
    <row r="100" spans="1:234" ht="13">
      <c r="B100" s="568"/>
      <c r="C100" s="518"/>
      <c r="D100" s="517"/>
      <c r="E100" s="568"/>
      <c r="F100" s="70">
        <f>E26</f>
        <v>9.0397061353794092E-2</v>
      </c>
      <c r="G100" s="530">
        <v>0.75076118967222416</v>
      </c>
      <c r="H100" s="121">
        <v>0.76024479874109863</v>
      </c>
      <c r="I100" s="79">
        <v>0.7690331542545914</v>
      </c>
      <c r="J100" s="121">
        <v>0.77720000749593088</v>
      </c>
      <c r="K100" s="517">
        <v>0.78480903478343633</v>
      </c>
      <c r="L100" s="506"/>
      <c r="M100" s="506"/>
      <c r="N100" s="506"/>
      <c r="O100" s="506"/>
      <c r="P100" s="18"/>
      <c r="V100" s="17"/>
      <c r="W100" s="17"/>
      <c r="X100" s="17"/>
    </row>
    <row r="101" spans="1:234" ht="13">
      <c r="B101" s="568"/>
      <c r="C101" s="510"/>
      <c r="D101" s="517"/>
      <c r="E101" s="568"/>
      <c r="F101" s="69">
        <f>+F100+0.005</f>
        <v>9.5397061353794096E-2</v>
      </c>
      <c r="G101" s="530">
        <v>0.74861066961110889</v>
      </c>
      <c r="H101" s="121">
        <v>0.75814974654395129</v>
      </c>
      <c r="I101" s="121">
        <v>0.7669913602173144</v>
      </c>
      <c r="J101" s="121">
        <v>0.77520930681089428</v>
      </c>
      <c r="K101" s="517">
        <v>0.78286732634809575</v>
      </c>
      <c r="L101" s="506"/>
      <c r="M101" s="506"/>
      <c r="N101" s="506"/>
      <c r="O101" s="506"/>
      <c r="P101" s="18"/>
      <c r="V101" s="17"/>
      <c r="W101" s="17"/>
      <c r="X101" s="17"/>
    </row>
    <row r="102" spans="1:234" ht="13">
      <c r="B102" s="568"/>
      <c r="C102" s="510"/>
      <c r="D102" s="517"/>
      <c r="E102" s="568"/>
      <c r="F102" s="69">
        <f>+F101+0.005</f>
        <v>0.1003970613537941</v>
      </c>
      <c r="G102" s="530">
        <v>0.74427839445432442</v>
      </c>
      <c r="H102" s="517">
        <v>0.75392782558668614</v>
      </c>
      <c r="I102" s="517">
        <v>0.76287551079874105</v>
      </c>
      <c r="J102" s="517">
        <v>0.77119531494481441</v>
      </c>
      <c r="K102" s="517">
        <v>0.77895108771672128</v>
      </c>
      <c r="L102" s="506"/>
      <c r="M102" s="506"/>
      <c r="N102" s="506"/>
      <c r="O102" s="506"/>
      <c r="P102" s="18"/>
      <c r="V102" s="17"/>
      <c r="W102" s="17"/>
      <c r="X102" s="17"/>
    </row>
    <row r="103" spans="1:234" s="2" customFormat="1" ht="13">
      <c r="A103"/>
      <c r="B103" s="519"/>
      <c r="C103" s="500"/>
      <c r="D103" s="500"/>
      <c r="E103" s="520"/>
      <c r="F103" s="327"/>
      <c r="G103" s="327"/>
      <c r="H103" s="327"/>
      <c r="I103" s="324"/>
      <c r="K103" s="62"/>
      <c r="L103" s="536"/>
      <c r="M103" s="536"/>
      <c r="N103" s="536"/>
      <c r="O103" s="536"/>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c r="GL103"/>
      <c r="GM103"/>
      <c r="GN103"/>
      <c r="GO103"/>
      <c r="GP103"/>
      <c r="GQ103"/>
      <c r="GR103"/>
      <c r="GS103"/>
      <c r="GT103"/>
      <c r="GU103"/>
      <c r="GV103"/>
      <c r="GW103"/>
      <c r="GX103"/>
      <c r="GY103"/>
      <c r="GZ103"/>
      <c r="HA103"/>
      <c r="HB103"/>
      <c r="HC103"/>
      <c r="HD103"/>
      <c r="HE103"/>
      <c r="HF103"/>
      <c r="HG103"/>
      <c r="HH103"/>
      <c r="HI103"/>
      <c r="HJ103"/>
      <c r="HK103"/>
      <c r="HL103"/>
      <c r="HM103"/>
      <c r="HN103"/>
      <c r="HO103"/>
      <c r="HP103"/>
      <c r="HQ103"/>
      <c r="HR103"/>
      <c r="HS103"/>
      <c r="HT103"/>
      <c r="HU103"/>
      <c r="HV103"/>
      <c r="HW103"/>
      <c r="HX103"/>
      <c r="HY103"/>
      <c r="HZ103"/>
    </row>
    <row r="104" spans="1:234" s="2" customFormat="1" ht="13">
      <c r="A104"/>
      <c r="B104" s="521"/>
      <c r="C104" s="522"/>
      <c r="D104" s="522"/>
      <c r="E104" s="523"/>
      <c r="F104" s="329"/>
      <c r="G104" s="329"/>
      <c r="H104" s="329"/>
      <c r="I104" s="328"/>
      <c r="J104" s="179"/>
      <c r="K104" s="180"/>
      <c r="L104" s="537"/>
      <c r="M104" s="537"/>
      <c r="N104" s="537"/>
      <c r="O104" s="537"/>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c r="GL104"/>
      <c r="GM104"/>
      <c r="GN104"/>
      <c r="GO104"/>
      <c r="GP104"/>
      <c r="GQ104"/>
      <c r="GR104"/>
      <c r="GS104"/>
      <c r="GT104"/>
      <c r="GU104"/>
      <c r="GV104"/>
      <c r="GW104"/>
      <c r="GX104"/>
      <c r="GY104"/>
      <c r="GZ104"/>
      <c r="HA104"/>
      <c r="HB104"/>
      <c r="HC104"/>
      <c r="HD104"/>
      <c r="HE104"/>
      <c r="HF104"/>
      <c r="HG104"/>
      <c r="HH104"/>
      <c r="HI104"/>
      <c r="HJ104"/>
      <c r="HK104"/>
      <c r="HL104"/>
      <c r="HM104"/>
      <c r="HN104"/>
      <c r="HO104"/>
      <c r="HP104"/>
      <c r="HQ104"/>
      <c r="HR104"/>
      <c r="HS104"/>
      <c r="HT104"/>
      <c r="HU104"/>
      <c r="HV104"/>
      <c r="HW104"/>
      <c r="HX104"/>
      <c r="HY104"/>
      <c r="HZ104"/>
    </row>
    <row r="105" spans="1:234" s="2" customFormat="1" ht="13">
      <c r="A105"/>
      <c r="B105" s="324"/>
      <c r="C105" s="28"/>
      <c r="D105" s="28"/>
      <c r="E105" s="29"/>
      <c r="F105" s="327"/>
      <c r="G105" s="327"/>
      <c r="H105" s="327"/>
      <c r="I105" s="324"/>
      <c r="K105" s="62"/>
      <c r="L105" s="62"/>
      <c r="M105" s="62"/>
      <c r="N105" s="62"/>
      <c r="O105" s="62"/>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c r="GL105"/>
      <c r="GM105"/>
      <c r="GN105"/>
      <c r="GO105"/>
      <c r="GP105"/>
      <c r="GQ105"/>
      <c r="GR105"/>
      <c r="GS105"/>
      <c r="GT105"/>
      <c r="GU105"/>
      <c r="GV105"/>
      <c r="GW105"/>
      <c r="GX105"/>
      <c r="GY105"/>
      <c r="GZ105"/>
      <c r="HA105"/>
      <c r="HB105"/>
      <c r="HC105"/>
      <c r="HD105"/>
      <c r="HE105"/>
      <c r="HF105"/>
      <c r="HG105"/>
      <c r="HH105"/>
      <c r="HI105"/>
      <c r="HJ105"/>
      <c r="HK105"/>
      <c r="HL105"/>
      <c r="HM105"/>
      <c r="HN105"/>
      <c r="HO105"/>
      <c r="HP105"/>
      <c r="HQ105"/>
      <c r="HR105"/>
      <c r="HS105"/>
      <c r="HT105"/>
      <c r="HU105"/>
      <c r="HV105"/>
      <c r="HW105"/>
      <c r="HX105"/>
      <c r="HY105"/>
      <c r="HZ105"/>
    </row>
    <row r="106" spans="1:234" s="2" customFormat="1" ht="13">
      <c r="A106" s="60"/>
      <c r="B106" s="324"/>
      <c r="C106" s="28"/>
      <c r="D106" s="28"/>
      <c r="E106" s="29"/>
      <c r="F106" s="327"/>
      <c r="G106" s="327"/>
      <c r="H106" s="327"/>
      <c r="I106" s="324"/>
      <c r="K106" s="62"/>
      <c r="L106" s="62"/>
      <c r="M106" s="62"/>
      <c r="N106" s="62"/>
      <c r="O106" s="62"/>
      <c r="AG106" s="60"/>
      <c r="AH106" s="60"/>
      <c r="AI106" s="60"/>
      <c r="AJ106" s="60"/>
      <c r="AK106" s="60"/>
      <c r="AL106" s="60"/>
      <c r="AM106" s="60"/>
      <c r="AN106" s="60"/>
      <c r="AO106" s="60"/>
      <c r="AP106" s="60"/>
      <c r="AQ106" s="60"/>
      <c r="AR106" s="60"/>
      <c r="AS106" s="60"/>
      <c r="AT106" s="60"/>
      <c r="AU106" s="60"/>
      <c r="AV106" s="60"/>
      <c r="AW106" s="60"/>
      <c r="AX106" s="60"/>
      <c r="AY106" s="60"/>
      <c r="AZ106" s="60"/>
      <c r="BA106" s="60"/>
      <c r="BB106" s="60"/>
      <c r="BC106" s="60"/>
      <c r="BD106" s="60"/>
      <c r="BE106" s="60"/>
      <c r="BF106" s="60"/>
      <c r="BG106" s="60"/>
      <c r="BH106" s="60"/>
      <c r="BI106" s="60"/>
      <c r="BJ106" s="60"/>
      <c r="BK106" s="60"/>
      <c r="BL106" s="60"/>
      <c r="BM106" s="60"/>
      <c r="BN106" s="60"/>
      <c r="BO106" s="60"/>
      <c r="BP106" s="60"/>
      <c r="BQ106" s="60"/>
      <c r="BR106" s="60"/>
      <c r="BS106" s="60"/>
      <c r="BT106" s="60"/>
      <c r="BU106" s="60"/>
      <c r="BV106" s="60"/>
      <c r="BW106" s="60"/>
      <c r="BX106" s="60"/>
      <c r="BY106" s="60"/>
      <c r="BZ106" s="60"/>
      <c r="CA106" s="60"/>
      <c r="CB106" s="60"/>
      <c r="CC106" s="60"/>
      <c r="CD106" s="60"/>
      <c r="CE106" s="60"/>
      <c r="CF106" s="60"/>
      <c r="CG106" s="60"/>
      <c r="CH106" s="60"/>
      <c r="CI106" s="60"/>
      <c r="CJ106" s="60"/>
      <c r="CK106" s="60"/>
      <c r="CL106" s="60"/>
      <c r="CM106" s="60"/>
      <c r="CN106" s="60"/>
      <c r="CO106" s="60"/>
      <c r="CP106" s="60"/>
      <c r="CQ106" s="60"/>
      <c r="CR106" s="60"/>
      <c r="CS106" s="60"/>
      <c r="CT106" s="60"/>
      <c r="CU106" s="60"/>
      <c r="CV106" s="60"/>
      <c r="CW106" s="60"/>
      <c r="CX106" s="60"/>
      <c r="CY106" s="60"/>
      <c r="CZ106" s="60"/>
      <c r="DA106" s="60"/>
      <c r="DB106" s="60"/>
      <c r="DC106" s="60"/>
      <c r="DD106" s="60"/>
      <c r="DE106" s="60"/>
      <c r="DF106" s="60"/>
      <c r="DG106" s="60"/>
      <c r="DH106" s="60"/>
      <c r="DI106" s="60"/>
      <c r="DJ106" s="60"/>
      <c r="DK106" s="60"/>
      <c r="DL106" s="60"/>
      <c r="DM106" s="60"/>
      <c r="DN106" s="60"/>
      <c r="DO106" s="60"/>
      <c r="DP106" s="60"/>
      <c r="DQ106" s="60"/>
      <c r="DR106" s="60"/>
      <c r="DS106" s="60"/>
      <c r="DT106" s="60"/>
      <c r="DU106" s="60"/>
      <c r="DV106" s="60"/>
      <c r="DW106" s="60"/>
      <c r="DX106" s="60"/>
      <c r="DY106" s="60"/>
      <c r="DZ106" s="60"/>
      <c r="EA106" s="60"/>
      <c r="EB106" s="60"/>
      <c r="EC106" s="60"/>
      <c r="ED106" s="60"/>
      <c r="EE106" s="60"/>
      <c r="EF106" s="60"/>
      <c r="EG106" s="60"/>
      <c r="EH106" s="60"/>
      <c r="EI106" s="60"/>
      <c r="EJ106" s="60"/>
      <c r="EK106" s="60"/>
      <c r="EL106" s="60"/>
      <c r="EM106" s="60"/>
      <c r="EN106" s="60"/>
      <c r="EO106" s="60"/>
      <c r="EP106" s="60"/>
      <c r="EQ106" s="60"/>
      <c r="ER106" s="60"/>
      <c r="ES106" s="60"/>
      <c r="ET106" s="60"/>
      <c r="EU106" s="60"/>
      <c r="EV106" s="60"/>
      <c r="EW106" s="60"/>
      <c r="EX106" s="60"/>
      <c r="EY106" s="60"/>
      <c r="EZ106" s="60"/>
      <c r="FA106" s="60"/>
      <c r="FB106" s="60"/>
      <c r="FC106" s="60"/>
      <c r="FD106" s="60"/>
      <c r="FE106" s="60"/>
      <c r="FF106" s="60"/>
      <c r="FG106" s="60"/>
      <c r="FH106" s="60"/>
      <c r="FI106" s="60"/>
      <c r="FJ106" s="60"/>
      <c r="FK106" s="60"/>
      <c r="FL106" s="60"/>
      <c r="FM106" s="60"/>
      <c r="FN106" s="60"/>
      <c r="FO106" s="60"/>
      <c r="FP106" s="60"/>
      <c r="FQ106" s="60"/>
      <c r="FR106" s="60"/>
      <c r="FS106" s="60"/>
      <c r="FT106" s="60"/>
      <c r="FU106" s="60"/>
      <c r="FV106" s="60"/>
      <c r="FW106" s="60"/>
      <c r="FX106" s="60"/>
      <c r="FY106" s="60"/>
      <c r="FZ106" s="60"/>
      <c r="GA106" s="60"/>
      <c r="GB106" s="60"/>
      <c r="GC106" s="60"/>
      <c r="GD106" s="60"/>
      <c r="GE106" s="60"/>
      <c r="GF106" s="60"/>
      <c r="GG106" s="60"/>
      <c r="GH106" s="60"/>
      <c r="GI106" s="60"/>
      <c r="GJ106" s="60"/>
      <c r="GK106" s="60"/>
      <c r="GL106" s="60"/>
      <c r="GM106" s="60"/>
      <c r="GN106" s="60"/>
      <c r="GO106" s="60"/>
      <c r="GP106" s="60"/>
      <c r="GQ106" s="60"/>
      <c r="GR106" s="60"/>
      <c r="GS106" s="60"/>
      <c r="GT106" s="60"/>
      <c r="GU106" s="60"/>
      <c r="GV106" s="60"/>
      <c r="GW106" s="60"/>
      <c r="GX106" s="60"/>
      <c r="GY106" s="60"/>
      <c r="GZ106" s="60"/>
      <c r="HA106" s="60"/>
      <c r="HB106" s="60"/>
      <c r="HC106" s="60"/>
      <c r="HD106" s="60"/>
      <c r="HE106" s="60"/>
      <c r="HF106" s="60"/>
      <c r="HG106" s="60"/>
      <c r="HH106" s="60"/>
      <c r="HI106" s="60"/>
      <c r="HJ106" s="60"/>
      <c r="HK106" s="60"/>
      <c r="HL106" s="60"/>
      <c r="HM106" s="60"/>
      <c r="HN106" s="60"/>
      <c r="HO106" s="60"/>
      <c r="HP106" s="60"/>
      <c r="HQ106" s="60"/>
      <c r="HR106" s="60"/>
      <c r="HS106" s="60"/>
      <c r="HT106" s="60"/>
      <c r="HU106" s="60"/>
      <c r="HV106" s="60"/>
      <c r="HW106" s="60"/>
      <c r="HX106" s="60"/>
      <c r="HY106" s="60"/>
      <c r="HZ106" s="60"/>
    </row>
    <row r="107" spans="1:234" s="17" customFormat="1" ht="13">
      <c r="B107" s="154" t="s">
        <v>67</v>
      </c>
      <c r="C107" s="154"/>
      <c r="D107" s="154"/>
      <c r="E107" s="154"/>
      <c r="F107" s="154"/>
    </row>
    <row r="108" spans="1:234" s="17" customFormat="1" ht="13">
      <c r="B108" s="182" t="s">
        <v>33</v>
      </c>
      <c r="C108" s="182"/>
      <c r="D108" s="182"/>
      <c r="E108" s="347"/>
      <c r="F108" s="166">
        <f>+J33</f>
        <v>9583755.8415998966</v>
      </c>
    </row>
    <row r="109" spans="1:234" s="17" customFormat="1">
      <c r="B109" s="347" t="s">
        <v>37</v>
      </c>
      <c r="C109" s="347"/>
      <c r="D109" s="347"/>
      <c r="E109" s="347"/>
      <c r="F109" s="348">
        <f>+J34</f>
        <v>2575853</v>
      </c>
    </row>
    <row r="110" spans="1:234" s="17" customFormat="1">
      <c r="B110" s="347" t="s">
        <v>68</v>
      </c>
      <c r="C110" s="347"/>
      <c r="D110" s="347"/>
      <c r="E110" s="347"/>
      <c r="F110" s="348">
        <f>+J35</f>
        <v>0</v>
      </c>
    </row>
    <row r="111" spans="1:234" s="17" customFormat="1">
      <c r="B111" s="347" t="s">
        <v>41</v>
      </c>
      <c r="C111" s="347"/>
      <c r="D111" s="347"/>
      <c r="E111" s="347"/>
      <c r="F111" s="348">
        <f>+J36</f>
        <v>7</v>
      </c>
    </row>
    <row r="112" spans="1:234" s="17" customFormat="1">
      <c r="B112" s="347" t="s">
        <v>43</v>
      </c>
      <c r="C112" s="347"/>
      <c r="D112" s="347"/>
      <c r="E112" s="347"/>
      <c r="F112" s="349">
        <f>+J37</f>
        <v>293150</v>
      </c>
    </row>
    <row r="113" spans="1:7" s="17" customFormat="1" ht="13">
      <c r="B113" s="61" t="s">
        <v>47</v>
      </c>
      <c r="C113" s="61"/>
      <c r="D113" s="61"/>
      <c r="E113" s="350"/>
      <c r="F113" s="174">
        <f>F108-F109-F110-F111+F112</f>
        <v>7301045.8415998966</v>
      </c>
      <c r="G113" s="460"/>
    </row>
    <row r="114" spans="1:7" s="17" customFormat="1" ht="13">
      <c r="B114" s="146"/>
      <c r="C114" s="146"/>
      <c r="D114" s="146"/>
      <c r="E114" s="351"/>
      <c r="F114" s="175"/>
    </row>
    <row r="115" spans="1:7" s="17" customFormat="1" ht="13">
      <c r="B115" s="564" t="s">
        <v>69</v>
      </c>
      <c r="C115" s="564"/>
      <c r="D115" s="564"/>
      <c r="E115" s="564"/>
      <c r="F115" s="564"/>
    </row>
    <row r="116" spans="1:7" s="17" customFormat="1" ht="13">
      <c r="B116" s="188"/>
      <c r="C116" s="188" t="s">
        <v>70</v>
      </c>
      <c r="D116" s="188" t="s">
        <v>71</v>
      </c>
      <c r="E116" s="188" t="s">
        <v>72</v>
      </c>
      <c r="F116" s="188"/>
    </row>
    <row r="117" spans="1:7" s="17" customFormat="1" ht="13">
      <c r="B117" s="164" t="s">
        <v>73</v>
      </c>
      <c r="C117" s="164" t="s">
        <v>74</v>
      </c>
      <c r="D117" s="164" t="s">
        <v>75</v>
      </c>
      <c r="E117" s="164" t="s">
        <v>74</v>
      </c>
      <c r="F117" s="164" t="s">
        <v>76</v>
      </c>
    </row>
    <row r="118" spans="1:7" s="17" customFormat="1">
      <c r="B118" s="352" t="s">
        <v>77</v>
      </c>
      <c r="C118" s="431">
        <v>67318</v>
      </c>
      <c r="D118" s="191">
        <v>52.64</v>
      </c>
      <c r="E118" s="436">
        <f>+IF(ISERROR(+IF(D118&lt;$F$117,C118,0)),0,IF(D118&lt;$F$117,C118,0))</f>
        <v>67318</v>
      </c>
      <c r="F118" s="354">
        <f>E118*D118</f>
        <v>3543619.52</v>
      </c>
    </row>
    <row r="119" spans="1:7" s="17" customFormat="1">
      <c r="B119" s="352" t="s">
        <v>78</v>
      </c>
      <c r="C119" s="431">
        <v>21274</v>
      </c>
      <c r="D119" s="191">
        <v>52.64</v>
      </c>
      <c r="E119" s="437">
        <f>+IF(ISERROR(+IF(D119&lt;$F$117,C119,0)),0,IF(D119&lt;$F$117,C119,0))</f>
        <v>21274</v>
      </c>
      <c r="F119" s="354">
        <f>E119*D119</f>
        <v>1119863.3600000001</v>
      </c>
    </row>
    <row r="120" spans="1:7" s="17" customFormat="1">
      <c r="B120" s="352" t="s">
        <v>79</v>
      </c>
      <c r="C120" s="434">
        <v>202324</v>
      </c>
      <c r="D120" s="184">
        <v>0</v>
      </c>
      <c r="E120" s="436">
        <f>+IF(ISERROR(+IF(D120&lt;$F$117,C120,0)),0,IF(D120&lt;$F$117,C120,0))</f>
        <v>202324</v>
      </c>
      <c r="F120" s="354">
        <f>E120*D120</f>
        <v>0</v>
      </c>
    </row>
    <row r="121" spans="1:7" s="17" customFormat="1">
      <c r="B121" s="352" t="s">
        <v>80</v>
      </c>
      <c r="C121" s="183">
        <v>0</v>
      </c>
      <c r="D121" s="184">
        <v>0</v>
      </c>
      <c r="E121" s="436">
        <f>+IF(ISERROR(+IF(D121&lt;$F$117,C121,0)),0,IF(D121&lt;$F$117,C121,0))</f>
        <v>0</v>
      </c>
      <c r="F121" s="354">
        <f>E121*D121</f>
        <v>0</v>
      </c>
    </row>
    <row r="122" spans="1:7" s="17" customFormat="1">
      <c r="B122" s="352" t="s">
        <v>81</v>
      </c>
      <c r="C122" s="189">
        <v>0</v>
      </c>
      <c r="D122" s="190">
        <v>0</v>
      </c>
      <c r="E122" s="438">
        <f>+IF(ISERROR(+IF(D122&lt;$F$117,C122,0)),0,IF(D122&lt;$F$117,C122,0))</f>
        <v>0</v>
      </c>
      <c r="F122" s="356">
        <f>E122*D122</f>
        <v>0</v>
      </c>
    </row>
    <row r="123" spans="1:7" s="17" customFormat="1" ht="13">
      <c r="B123" s="165" t="s">
        <v>82</v>
      </c>
      <c r="C123" s="432">
        <f>SUM(C118:C122)</f>
        <v>290916</v>
      </c>
      <c r="D123" s="185"/>
      <c r="E123" s="432">
        <f>SUM(E118:E122)</f>
        <v>290916</v>
      </c>
      <c r="F123" s="166">
        <f>SUM(F118:F122)</f>
        <v>4663482.88</v>
      </c>
    </row>
    <row r="124" spans="1:7" s="17" customFormat="1">
      <c r="B124" s="351"/>
      <c r="C124" s="351"/>
      <c r="D124" s="351"/>
      <c r="E124" s="351"/>
      <c r="F124" s="351"/>
    </row>
    <row r="125" spans="1:7" s="17" customFormat="1">
      <c r="A125" s="2"/>
      <c r="B125" s="357" t="s">
        <v>83</v>
      </c>
      <c r="C125" s="357"/>
      <c r="D125" s="357"/>
      <c r="E125" s="357"/>
      <c r="F125" s="433">
        <v>84665</v>
      </c>
    </row>
    <row r="126" spans="1:7" s="17" customFormat="1">
      <c r="A126" s="2"/>
      <c r="B126" s="357" t="s">
        <v>84</v>
      </c>
      <c r="C126" s="357"/>
      <c r="D126" s="357"/>
      <c r="E126" s="357"/>
      <c r="F126" s="353">
        <f>E123/1000</f>
        <v>290.916</v>
      </c>
    </row>
    <row r="127" spans="1:7" s="17" customFormat="1">
      <c r="A127" s="2"/>
      <c r="B127" s="357" t="s">
        <v>85</v>
      </c>
      <c r="C127" s="357"/>
      <c r="D127" s="357"/>
      <c r="E127" s="357"/>
      <c r="F127" s="355">
        <f ca="1">+IF(ISERROR(-F123/F132),0,-F123/F132)/1000</f>
        <v>-54.230252289695144</v>
      </c>
    </row>
    <row r="128" spans="1:7" s="171" customFormat="1" ht="13">
      <c r="A128" s="19"/>
      <c r="B128" s="186" t="s">
        <v>86</v>
      </c>
      <c r="C128" s="186"/>
      <c r="D128" s="186"/>
      <c r="E128" s="186"/>
      <c r="F128" s="440">
        <f ca="1">+IF(ISERROR(F126+F127+F125),0,F126+F127)</f>
        <v>236.68574771030484</v>
      </c>
    </row>
    <row r="129" spans="1:6" s="17" customFormat="1">
      <c r="A129" s="2"/>
      <c r="B129" s="358" t="s">
        <v>87</v>
      </c>
      <c r="C129" s="357"/>
      <c r="D129" s="357"/>
      <c r="E129" s="357"/>
      <c r="F129" s="435">
        <v>0</v>
      </c>
    </row>
    <row r="130" spans="1:6" s="17" customFormat="1" ht="13">
      <c r="A130" s="2"/>
      <c r="B130" s="186" t="s">
        <v>88</v>
      </c>
      <c r="C130" s="357"/>
      <c r="D130" s="357"/>
      <c r="E130" s="357"/>
      <c r="F130" s="439">
        <f ca="1">F125+SUM(F128:F129)</f>
        <v>84901.685747710304</v>
      </c>
    </row>
    <row r="131" spans="1:6" s="17" customFormat="1">
      <c r="A131" s="2"/>
      <c r="B131" s="351"/>
      <c r="C131" s="351"/>
      <c r="D131" s="351"/>
      <c r="E131" s="351"/>
      <c r="F131" s="359" t="s">
        <v>45</v>
      </c>
    </row>
    <row r="132" spans="1:6" s="17" customFormat="1" ht="13">
      <c r="A132" s="2"/>
      <c r="B132" s="61" t="s">
        <v>54</v>
      </c>
      <c r="C132" s="61"/>
      <c r="D132" s="61"/>
      <c r="E132" s="350"/>
      <c r="F132" s="187">
        <f ca="1">+IF(ISERROR(F113/F130),0,F113/F130)</f>
        <v>85.994121050733042</v>
      </c>
    </row>
  </sheetData>
  <sheetProtection selectLockedCells="1" selectUnlockedCells="1"/>
  <mergeCells count="13">
    <mergeCell ref="B115:F115"/>
    <mergeCell ref="J5:N5"/>
    <mergeCell ref="G32:J32"/>
    <mergeCell ref="B49:B53"/>
    <mergeCell ref="I49:I53"/>
    <mergeCell ref="E98:E102"/>
    <mergeCell ref="B98:B102"/>
    <mergeCell ref="B78:B82"/>
    <mergeCell ref="I78:I82"/>
    <mergeCell ref="B88:B92"/>
    <mergeCell ref="I88:I92"/>
    <mergeCell ref="J85:O85"/>
    <mergeCell ref="F95:K95"/>
  </mergeCells>
  <phoneticPr fontId="15" type="noConversion"/>
  <pageMargins left="0.75" right="0.75" top="1" bottom="1" header="0.5" footer="0.5"/>
  <pageSetup scale="64" orientation="landscape" r:id="rId1"/>
  <headerFooter alignWithMargins="0"/>
  <ignoredErrors>
    <ignoredError sqref="H10:H11 H13:H19"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5">
    <tabColor theme="5" tint="0.79998168889431442"/>
    <pageSetUpPr fitToPage="1"/>
  </sheetPr>
  <dimension ref="A1:O37"/>
  <sheetViews>
    <sheetView showGridLines="0" zoomScale="85" workbookViewId="0">
      <selection activeCell="O21" sqref="O21"/>
    </sheetView>
  </sheetViews>
  <sheetFormatPr defaultColWidth="9.1796875" defaultRowHeight="12.5"/>
  <cols>
    <col min="1" max="1" width="0.81640625" style="1" customWidth="1"/>
    <col min="2" max="2" width="30.7265625" style="1" customWidth="1"/>
    <col min="3" max="3" width="12.7265625" style="1" customWidth="1"/>
    <col min="4" max="11" width="13.81640625" style="1" bestFit="1" customWidth="1"/>
    <col min="12" max="12" width="0.81640625" style="1" customWidth="1"/>
    <col min="13" max="16384" width="9.1796875" style="1"/>
  </cols>
  <sheetData>
    <row r="1" spans="1:15" s="54" customFormat="1" ht="20">
      <c r="B1" s="133" t="str">
        <f>Cover!G6</f>
        <v>Planet Fitness, Inc.</v>
      </c>
      <c r="C1" s="134"/>
      <c r="D1" s="134"/>
      <c r="E1" s="134"/>
      <c r="F1" s="134"/>
      <c r="G1" s="120"/>
      <c r="H1" s="120"/>
      <c r="I1" s="120"/>
      <c r="J1" s="120"/>
      <c r="K1" s="135"/>
      <c r="L1" s="40"/>
      <c r="M1" s="40"/>
      <c r="N1" s="40"/>
    </row>
    <row r="2" spans="1:15" s="54" customFormat="1" ht="18">
      <c r="B2" s="134" t="s">
        <v>89</v>
      </c>
      <c r="C2" s="136"/>
      <c r="D2" s="136"/>
      <c r="E2" s="136"/>
      <c r="F2" s="136"/>
      <c r="G2" s="120"/>
      <c r="H2" s="120"/>
      <c r="I2" s="120"/>
      <c r="J2" s="120"/>
      <c r="K2" s="135"/>
      <c r="L2" s="40"/>
      <c r="M2" s="40"/>
      <c r="N2" s="40"/>
    </row>
    <row r="3" spans="1:15" s="54" customFormat="1" ht="13">
      <c r="B3" s="137" t="s">
        <v>90</v>
      </c>
      <c r="C3" s="137"/>
      <c r="D3" s="137"/>
      <c r="E3" s="137"/>
      <c r="F3" s="137"/>
      <c r="G3" s="120"/>
      <c r="H3" s="120"/>
      <c r="I3" s="120"/>
      <c r="J3" s="120"/>
      <c r="K3" s="135"/>
      <c r="L3" s="40"/>
      <c r="M3" s="40"/>
      <c r="N3" s="40"/>
    </row>
    <row r="4" spans="1:15">
      <c r="A4" s="10"/>
      <c r="B4" s="10"/>
      <c r="C4" s="10"/>
      <c r="D4" s="10"/>
      <c r="E4" s="10"/>
      <c r="F4" s="10"/>
      <c r="G4" s="360"/>
      <c r="H4" s="361"/>
      <c r="I4" s="361"/>
      <c r="J4" s="361"/>
      <c r="K4" s="60"/>
      <c r="L4" s="362"/>
      <c r="M4" s="362"/>
      <c r="N4" s="362"/>
    </row>
    <row r="5" spans="1:15" ht="13">
      <c r="A5" s="10"/>
      <c r="B5" s="10"/>
      <c r="C5" s="131" t="s">
        <v>8</v>
      </c>
      <c r="D5" s="132"/>
      <c r="E5" s="132"/>
      <c r="G5" s="570" t="s">
        <v>10</v>
      </c>
      <c r="H5" s="570"/>
      <c r="I5" s="570"/>
      <c r="J5" s="570"/>
      <c r="K5" s="570"/>
    </row>
    <row r="6" spans="1:15" ht="13">
      <c r="A6" s="11"/>
      <c r="B6" s="11"/>
      <c r="C6" s="103">
        <f>+DCF!E6</f>
        <v>2021</v>
      </c>
      <c r="D6" s="103">
        <f>+DCF!F6</f>
        <v>2022</v>
      </c>
      <c r="E6" s="103">
        <f>+DCF!G6</f>
        <v>2023</v>
      </c>
      <c r="F6" s="103">
        <f>+DCF!I6</f>
        <v>2024</v>
      </c>
      <c r="G6" s="156">
        <f>+DCF!J6</f>
        <v>2025</v>
      </c>
      <c r="H6" s="103">
        <f>+DCF!K6</f>
        <v>2026</v>
      </c>
      <c r="I6" s="103">
        <f>+DCF!L6</f>
        <v>2027</v>
      </c>
      <c r="J6" s="103">
        <f>+DCF!M6</f>
        <v>2028</v>
      </c>
      <c r="K6" s="103">
        <f>+DCF!N6</f>
        <v>2029</v>
      </c>
      <c r="O6" s="318"/>
    </row>
    <row r="7" spans="1:15">
      <c r="B7" s="10" t="s">
        <v>13</v>
      </c>
      <c r="C7" s="325">
        <f>+DCF!E7</f>
        <v>587023</v>
      </c>
      <c r="D7" s="325">
        <f>+DCF!F7</f>
        <v>936772</v>
      </c>
      <c r="E7" s="325">
        <f>+DCF!G7</f>
        <v>1071326</v>
      </c>
      <c r="F7" s="325">
        <f>+DCF!I7</f>
        <v>1181654</v>
      </c>
      <c r="G7" s="363">
        <f>+DCF!J7</f>
        <v>1299819.4000000001</v>
      </c>
      <c r="H7" s="325">
        <f>+DCF!K7</f>
        <v>1423302.243</v>
      </c>
      <c r="I7" s="325">
        <f>+DCF!L7</f>
        <v>1551399.4448700002</v>
      </c>
      <c r="J7" s="325">
        <f>+DCF!M7</f>
        <v>1687922.5960185605</v>
      </c>
      <c r="K7" s="325">
        <f>+DCF!N7</f>
        <v>1836459.784468194</v>
      </c>
    </row>
    <row r="8" spans="1:15">
      <c r="B8" s="10" t="s">
        <v>16</v>
      </c>
      <c r="C8" s="364">
        <f>+DCF!E9</f>
        <v>170158</v>
      </c>
      <c r="D8" s="364">
        <f>+DCF!F9</f>
        <v>285538</v>
      </c>
      <c r="E8" s="364">
        <f>+DCF!G9</f>
        <v>323714</v>
      </c>
      <c r="F8" s="364">
        <f>+DCF!I9</f>
        <v>369516</v>
      </c>
      <c r="G8" s="365">
        <f>+DCF!J9</f>
        <v>409443.11100000003</v>
      </c>
      <c r="H8" s="364">
        <f>+DCF!K9</f>
        <v>448340.20654500002</v>
      </c>
      <c r="I8" s="364">
        <f>+DCF!L9</f>
        <v>488690.8251340501</v>
      </c>
      <c r="J8" s="364">
        <f>+DCF!M9</f>
        <v>531695.61774584651</v>
      </c>
      <c r="K8" s="364">
        <f>+DCF!N9</f>
        <v>578484.83210748108</v>
      </c>
    </row>
    <row r="9" spans="1:15">
      <c r="B9" s="10" t="s">
        <v>91</v>
      </c>
      <c r="C9" s="7">
        <v>15137</v>
      </c>
      <c r="D9" s="7">
        <v>5081</v>
      </c>
      <c r="E9" s="7">
        <v>10379</v>
      </c>
      <c r="F9" s="7">
        <v>1326</v>
      </c>
      <c r="G9" s="158"/>
      <c r="H9" s="6"/>
      <c r="I9" s="6"/>
      <c r="J9" s="6"/>
      <c r="K9" s="6"/>
    </row>
    <row r="10" spans="1:15" ht="13">
      <c r="B10" s="140" t="s">
        <v>92</v>
      </c>
      <c r="C10" s="138"/>
      <c r="D10" s="138"/>
      <c r="E10" s="138"/>
      <c r="F10" s="138"/>
      <c r="G10" s="159"/>
      <c r="H10" s="139"/>
      <c r="I10" s="139"/>
      <c r="J10" s="139"/>
      <c r="K10" s="139"/>
    </row>
    <row r="11" spans="1:15">
      <c r="B11" s="15" t="s">
        <v>93</v>
      </c>
      <c r="C11" s="102">
        <v>27257</v>
      </c>
      <c r="D11" s="102">
        <v>46242</v>
      </c>
      <c r="E11" s="102">
        <v>41890</v>
      </c>
      <c r="F11" s="102">
        <v>77145</v>
      </c>
      <c r="G11" s="158">
        <f t="shared" ref="G11:K12" si="0">+G7/365*G29</f>
        <v>66615.965261379286</v>
      </c>
      <c r="H11" s="6">
        <f t="shared" si="0"/>
        <v>72944.481961210317</v>
      </c>
      <c r="I11" s="6">
        <f t="shared" si="0"/>
        <v>79509.485337719248</v>
      </c>
      <c r="J11" s="6">
        <f t="shared" si="0"/>
        <v>86506.320047438567</v>
      </c>
      <c r="K11" s="6">
        <f t="shared" si="0"/>
        <v>94118.876211613169</v>
      </c>
    </row>
    <row r="12" spans="1:15">
      <c r="B12" s="15" t="s">
        <v>94</v>
      </c>
      <c r="C12" s="102">
        <v>1155</v>
      </c>
      <c r="D12" s="102">
        <v>5266</v>
      </c>
      <c r="E12" s="102">
        <v>4677</v>
      </c>
      <c r="F12" s="102">
        <v>6146</v>
      </c>
      <c r="G12" s="158">
        <f>+G8/365*G30</f>
        <v>0</v>
      </c>
      <c r="H12" s="6">
        <f t="shared" si="0"/>
        <v>0</v>
      </c>
      <c r="I12" s="6">
        <f t="shared" si="0"/>
        <v>0</v>
      </c>
      <c r="J12" s="6">
        <f t="shared" si="0"/>
        <v>0</v>
      </c>
      <c r="K12" s="6">
        <f t="shared" si="0"/>
        <v>0</v>
      </c>
    </row>
    <row r="13" spans="1:15">
      <c r="B13" s="15" t="s">
        <v>95</v>
      </c>
      <c r="C13" s="141">
        <v>12869</v>
      </c>
      <c r="D13" s="141">
        <v>11078</v>
      </c>
      <c r="E13" s="141">
        <v>13842</v>
      </c>
      <c r="F13" s="141">
        <v>21499</v>
      </c>
      <c r="G13" s="159">
        <f t="shared" ref="G13:K13" si="1">+G7*G31</f>
        <v>18600.415614000001</v>
      </c>
      <c r="H13" s="139">
        <f t="shared" si="1"/>
        <v>20367.455097329999</v>
      </c>
      <c r="I13" s="139">
        <f t="shared" si="1"/>
        <v>22200.526056089704</v>
      </c>
      <c r="J13" s="139">
        <f t="shared" si="1"/>
        <v>24154.172349025601</v>
      </c>
      <c r="K13" s="139">
        <f t="shared" si="1"/>
        <v>26279.739515739857</v>
      </c>
    </row>
    <row r="14" spans="1:15" s="4" customFormat="1" ht="13">
      <c r="B14" s="11" t="s">
        <v>96</v>
      </c>
      <c r="C14" s="206">
        <f t="shared" ref="C14:K14" si="2">SUM(C11:C13)</f>
        <v>41281</v>
      </c>
      <c r="D14" s="206">
        <f t="shared" si="2"/>
        <v>62586</v>
      </c>
      <c r="E14" s="206">
        <f t="shared" si="2"/>
        <v>60409</v>
      </c>
      <c r="F14" s="206">
        <f t="shared" si="2"/>
        <v>104790</v>
      </c>
      <c r="G14" s="209">
        <f t="shared" si="2"/>
        <v>85216.380875379284</v>
      </c>
      <c r="H14" s="206">
        <f t="shared" si="2"/>
        <v>93311.937058540323</v>
      </c>
      <c r="I14" s="206">
        <f t="shared" si="2"/>
        <v>101710.01139380895</v>
      </c>
      <c r="J14" s="206">
        <f t="shared" si="2"/>
        <v>110660.49239646416</v>
      </c>
      <c r="K14" s="206">
        <f t="shared" si="2"/>
        <v>120398.61572735303</v>
      </c>
    </row>
    <row r="15" spans="1:15" ht="13">
      <c r="B15" s="11"/>
      <c r="C15" s="142"/>
      <c r="E15" s="142"/>
      <c r="F15" s="326"/>
      <c r="G15" s="157"/>
      <c r="H15" s="9"/>
      <c r="I15" s="9"/>
      <c r="J15" s="9"/>
      <c r="K15" s="9"/>
    </row>
    <row r="16" spans="1:15" ht="13">
      <c r="B16" s="140" t="s">
        <v>97</v>
      </c>
      <c r="C16" s="143"/>
      <c r="D16" s="143"/>
      <c r="E16" s="143"/>
      <c r="F16" s="317"/>
      <c r="G16" s="159"/>
      <c r="H16" s="139"/>
      <c r="I16" s="139"/>
      <c r="J16" s="139"/>
      <c r="K16" s="139"/>
    </row>
    <row r="17" spans="2:14">
      <c r="B17" s="15" t="s">
        <v>98</v>
      </c>
      <c r="C17" s="102">
        <v>27892</v>
      </c>
      <c r="D17" s="102">
        <v>20578</v>
      </c>
      <c r="E17" s="102">
        <v>23788</v>
      </c>
      <c r="F17" s="102">
        <v>32887</v>
      </c>
      <c r="G17" s="158">
        <f>+G8/365*G34</f>
        <v>20303.89125780822</v>
      </c>
      <c r="H17" s="6">
        <f t="shared" ref="H17:K17" si="3">+H8/365*H34</f>
        <v>22232.760927300005</v>
      </c>
      <c r="I17" s="6">
        <f t="shared" si="3"/>
        <v>24233.709410757005</v>
      </c>
      <c r="J17" s="6">
        <f t="shared" si="3"/>
        <v>26366.275838903621</v>
      </c>
      <c r="K17" s="6">
        <f t="shared" si="3"/>
        <v>28686.508112727148</v>
      </c>
    </row>
    <row r="18" spans="2:14">
      <c r="B18" s="15" t="s">
        <v>99</v>
      </c>
      <c r="C18" s="102">
        <v>51714</v>
      </c>
      <c r="D18" s="102">
        <v>66993</v>
      </c>
      <c r="E18" s="102">
        <v>66299</v>
      </c>
      <c r="F18" s="102">
        <v>67895</v>
      </c>
      <c r="G18" s="158">
        <f t="shared" ref="G18:K18" si="4">+G7*G35</f>
        <v>83188.441600000006</v>
      </c>
      <c r="H18" s="6">
        <f t="shared" si="4"/>
        <v>91091.343552000006</v>
      </c>
      <c r="I18" s="6">
        <f t="shared" si="4"/>
        <v>99289.564471680016</v>
      </c>
      <c r="J18" s="6">
        <f t="shared" si="4"/>
        <v>108027.04614518787</v>
      </c>
      <c r="K18" s="6">
        <f t="shared" si="4"/>
        <v>117533.42620596442</v>
      </c>
    </row>
    <row r="19" spans="2:14">
      <c r="B19" s="15" t="s">
        <v>100</v>
      </c>
      <c r="C19" s="141">
        <v>30851</v>
      </c>
      <c r="D19" s="141">
        <v>50510</v>
      </c>
      <c r="E19" s="141">
        <v>39607</v>
      </c>
      <c r="F19" s="141">
        <v>41546</v>
      </c>
      <c r="G19" s="159">
        <f t="shared" ref="G19:K19" si="5">+G7*G36</f>
        <v>54592.414800000006</v>
      </c>
      <c r="H19" s="139">
        <f t="shared" si="5"/>
        <v>59778.694206000007</v>
      </c>
      <c r="I19" s="139">
        <f t="shared" si="5"/>
        <v>65158.776684540011</v>
      </c>
      <c r="J19" s="139">
        <f t="shared" si="5"/>
        <v>70892.749032779539</v>
      </c>
      <c r="K19" s="139">
        <f t="shared" si="5"/>
        <v>77131.310947664155</v>
      </c>
    </row>
    <row r="20" spans="2:14" s="4" customFormat="1" ht="13">
      <c r="B20" s="11" t="s">
        <v>101</v>
      </c>
      <c r="C20" s="206">
        <f t="shared" ref="C20:K20" si="6">SUM(C17:C19)</f>
        <v>110457</v>
      </c>
      <c r="D20" s="206">
        <f t="shared" si="6"/>
        <v>138081</v>
      </c>
      <c r="E20" s="206">
        <f t="shared" si="6"/>
        <v>129694</v>
      </c>
      <c r="F20" s="206">
        <f t="shared" si="6"/>
        <v>142328</v>
      </c>
      <c r="G20" s="209">
        <f t="shared" si="6"/>
        <v>158084.74765780824</v>
      </c>
      <c r="H20" s="206">
        <f t="shared" si="6"/>
        <v>173102.79868530002</v>
      </c>
      <c r="I20" s="206">
        <f t="shared" si="6"/>
        <v>188682.05056697704</v>
      </c>
      <c r="J20" s="206">
        <f t="shared" si="6"/>
        <v>205286.07101687102</v>
      </c>
      <c r="K20" s="206">
        <f t="shared" si="6"/>
        <v>223351.24526635575</v>
      </c>
    </row>
    <row r="21" spans="2:14" ht="13">
      <c r="B21" s="10"/>
      <c r="C21" s="144"/>
      <c r="D21" s="144"/>
      <c r="E21" s="144"/>
      <c r="F21" s="366"/>
      <c r="G21" s="160"/>
      <c r="H21" s="145"/>
      <c r="I21" s="145"/>
      <c r="J21" s="145"/>
      <c r="K21" s="145"/>
    </row>
    <row r="22" spans="2:14" s="4" customFormat="1" ht="13">
      <c r="B22" s="11" t="s">
        <v>102</v>
      </c>
      <c r="C22" s="206">
        <f>+C14-C20</f>
        <v>-69176</v>
      </c>
      <c r="D22" s="206">
        <f>+D14-D20</f>
        <v>-75495</v>
      </c>
      <c r="E22" s="206">
        <f t="shared" ref="E22:K22" si="7">+E14-E20</f>
        <v>-69285</v>
      </c>
      <c r="F22" s="206">
        <f t="shared" si="7"/>
        <v>-37538</v>
      </c>
      <c r="G22" s="209">
        <f>+G14-G20</f>
        <v>-72868.366782428959</v>
      </c>
      <c r="H22" s="206">
        <f t="shared" si="7"/>
        <v>-79790.861626759695</v>
      </c>
      <c r="I22" s="206">
        <f t="shared" si="7"/>
        <v>-86972.039173168087</v>
      </c>
      <c r="J22" s="206">
        <f t="shared" si="7"/>
        <v>-94625.578620406857</v>
      </c>
      <c r="K22" s="206">
        <f t="shared" si="7"/>
        <v>-102952.62953900272</v>
      </c>
    </row>
    <row r="23" spans="2:14" ht="13">
      <c r="B23" s="92" t="s">
        <v>103</v>
      </c>
      <c r="C23" s="147">
        <f>+IF(ISERROR(C22/C7),0,C22/C7)</f>
        <v>-0.11784206070290261</v>
      </c>
      <c r="D23" s="147">
        <f t="shared" ref="D23:K23" si="8">+IF(ISERROR(D22/D7),0,D22/D7)</f>
        <v>-8.0590581272710973E-2</v>
      </c>
      <c r="E23" s="147">
        <f t="shared" si="8"/>
        <v>-6.4672191284445638E-2</v>
      </c>
      <c r="F23" s="147">
        <f t="shared" si="8"/>
        <v>-3.1767336293026555E-2</v>
      </c>
      <c r="G23" s="192">
        <f>+IF(ISERROR(G22/G7),0,G22/G7)</f>
        <v>-5.6060377912830778E-2</v>
      </c>
      <c r="H23" s="147">
        <f t="shared" si="8"/>
        <v>-5.6060377912830771E-2</v>
      </c>
      <c r="I23" s="147">
        <f t="shared" si="8"/>
        <v>-5.6060377912830778E-2</v>
      </c>
      <c r="J23" s="147">
        <f t="shared" si="8"/>
        <v>-5.6060377912830757E-2</v>
      </c>
      <c r="K23" s="147">
        <f t="shared" si="8"/>
        <v>-5.6060377912830785E-2</v>
      </c>
      <c r="L23" s="367"/>
      <c r="M23" s="367"/>
      <c r="N23" s="367"/>
    </row>
    <row r="24" spans="2:14">
      <c r="B24" s="10"/>
      <c r="C24" s="6"/>
      <c r="D24" s="6"/>
      <c r="E24" s="6"/>
      <c r="F24" s="6"/>
      <c r="G24" s="158"/>
      <c r="H24" s="6"/>
      <c r="I24" s="6"/>
      <c r="J24" s="6"/>
      <c r="K24" s="6"/>
    </row>
    <row r="25" spans="2:14" s="8" customFormat="1" ht="13">
      <c r="B25" s="41" t="s">
        <v>104</v>
      </c>
      <c r="C25" s="207"/>
      <c r="D25" s="207">
        <f>+C22-D22</f>
        <v>6319</v>
      </c>
      <c r="E25" s="207">
        <f t="shared" ref="E25:K25" si="9">+D22-E22</f>
        <v>-6210</v>
      </c>
      <c r="F25" s="207">
        <f t="shared" si="9"/>
        <v>-31747</v>
      </c>
      <c r="G25" s="210">
        <f>+F22-G22</f>
        <v>35330.366782428959</v>
      </c>
      <c r="H25" s="207">
        <f t="shared" si="9"/>
        <v>6922.4948443307367</v>
      </c>
      <c r="I25" s="207">
        <f t="shared" si="9"/>
        <v>7181.1775464083912</v>
      </c>
      <c r="J25" s="207">
        <f t="shared" si="9"/>
        <v>7653.5394472387707</v>
      </c>
      <c r="K25" s="207">
        <f t="shared" si="9"/>
        <v>8327.0509185958654</v>
      </c>
    </row>
    <row r="26" spans="2:14" s="8" customFormat="1" ht="13">
      <c r="B26" s="12"/>
    </row>
    <row r="27" spans="2:14" ht="13">
      <c r="B27" s="42" t="s">
        <v>55</v>
      </c>
    </row>
    <row r="28" spans="2:14" ht="13">
      <c r="B28" s="167" t="s">
        <v>92</v>
      </c>
      <c r="C28" s="169"/>
      <c r="D28" s="169"/>
      <c r="E28" s="169"/>
      <c r="F28" s="211"/>
      <c r="G28" s="169"/>
      <c r="H28" s="169"/>
      <c r="I28" s="169"/>
      <c r="J28" s="169"/>
      <c r="K28" s="170"/>
    </row>
    <row r="29" spans="2:14">
      <c r="B29" s="46" t="s">
        <v>105</v>
      </c>
      <c r="C29" s="368">
        <f t="shared" ref="C29:E30" si="10">+IF(ISERROR(C11/C7*365),0,C11/C7*365)</f>
        <v>16.947896419731425</v>
      </c>
      <c r="D29" s="368">
        <f t="shared" si="10"/>
        <v>18.017543222897356</v>
      </c>
      <c r="E29" s="368">
        <f t="shared" si="10"/>
        <v>14.271892962552947</v>
      </c>
      <c r="F29" s="369">
        <f t="shared" ref="F29" si="11">+IF(ISERROR(F11/F7*365),0,F11/F7*365)</f>
        <v>23.829246970771475</v>
      </c>
      <c r="G29" s="368">
        <f>'AS2'!F7</f>
        <v>18.706312061816771</v>
      </c>
      <c r="H29" s="368">
        <f>'AS2'!G7</f>
        <v>18.706312061816771</v>
      </c>
      <c r="I29" s="368">
        <f>'AS2'!H7</f>
        <v>18.706312061816771</v>
      </c>
      <c r="J29" s="368">
        <f>'AS2'!I7</f>
        <v>18.706312061816771</v>
      </c>
      <c r="K29" s="370">
        <f>'AS2'!J7</f>
        <v>18.706312061816771</v>
      </c>
    </row>
    <row r="30" spans="2:14">
      <c r="B30" s="46" t="s">
        <v>106</v>
      </c>
      <c r="C30" s="368">
        <f>+IF(ISERROR(C12/C8*365),0,C12/C8*365)</f>
        <v>2.4775502768015611</v>
      </c>
      <c r="D30" s="368">
        <f t="shared" si="10"/>
        <v>6.7314683159509423</v>
      </c>
      <c r="E30" s="368">
        <f t="shared" si="10"/>
        <v>5.2734975935548043</v>
      </c>
      <c r="F30" s="369">
        <f t="shared" ref="F30" si="12">+IF(ISERROR(F12/F8*365),0,F12/F8*365)</f>
        <v>6.0708873228764109</v>
      </c>
      <c r="G30" s="368">
        <f>'AS2'!F12</f>
        <v>0</v>
      </c>
      <c r="H30" s="368">
        <f>'AS2'!G12</f>
        <v>0</v>
      </c>
      <c r="I30" s="368">
        <f>'AS2'!H12</f>
        <v>0</v>
      </c>
      <c r="J30" s="368">
        <f>'AS2'!I12</f>
        <v>0</v>
      </c>
      <c r="K30" s="370">
        <f>'AS2'!J12</f>
        <v>0</v>
      </c>
    </row>
    <row r="31" spans="2:14" ht="30" customHeight="1">
      <c r="B31" s="46" t="s">
        <v>107</v>
      </c>
      <c r="C31" s="336">
        <f>+IF(ISERROR(C13/C7),0,C13/C7)</f>
        <v>2.1922480039112607E-2</v>
      </c>
      <c r="D31" s="336">
        <f>+IF(ISERROR(D13/D7),0,D13/D7)</f>
        <v>1.1825716396305612E-2</v>
      </c>
      <c r="E31" s="336">
        <f>+IF(ISERROR(E13/E7),0,E13/E7)</f>
        <v>1.292043691649414E-2</v>
      </c>
      <c r="F31" s="371">
        <f>+IF(ISERROR(F13/F7),0,F13/F7)</f>
        <v>1.8193989103409289E-2</v>
      </c>
      <c r="G31" s="336">
        <f>'AS2'!F17</f>
        <v>1.431E-2</v>
      </c>
      <c r="H31" s="336">
        <f>'AS2'!G17</f>
        <v>1.431E-2</v>
      </c>
      <c r="I31" s="336">
        <f>'AS2'!H17</f>
        <v>1.431E-2</v>
      </c>
      <c r="J31" s="336">
        <f>'AS2'!I17</f>
        <v>1.431E-2</v>
      </c>
      <c r="K31" s="338">
        <f>'AS2'!J17</f>
        <v>1.431E-2</v>
      </c>
    </row>
    <row r="32" spans="2:14" ht="19.5" customHeight="1">
      <c r="B32" s="46"/>
      <c r="C32" s="39"/>
      <c r="D32" s="39"/>
      <c r="E32" s="39"/>
      <c r="F32" s="212"/>
      <c r="G32" s="43"/>
      <c r="H32" s="43"/>
      <c r="I32" s="43"/>
      <c r="J32" s="43"/>
      <c r="K32" s="44"/>
    </row>
    <row r="33" spans="2:11" ht="13">
      <c r="B33" s="168" t="s">
        <v>97</v>
      </c>
      <c r="C33" s="39"/>
      <c r="D33" s="39"/>
      <c r="E33" s="39"/>
      <c r="F33" s="213"/>
      <c r="G33" s="38"/>
      <c r="H33" s="38"/>
      <c r="I33" s="38"/>
      <c r="J33" s="38"/>
      <c r="K33" s="45"/>
    </row>
    <row r="34" spans="2:11">
      <c r="B34" s="46" t="s">
        <v>108</v>
      </c>
      <c r="C34" s="368">
        <f>+IF(ISERROR(C17/C8*365),0,C17/C8*365)</f>
        <v>59.8301578532893</v>
      </c>
      <c r="D34" s="368">
        <f>+IF(ISERROR(D17/D8*365),0,D17/D8*365)</f>
        <v>26.304624953596367</v>
      </c>
      <c r="E34" s="368">
        <f>+IF(ISERROR(E17/E8*365),0,E17/E8*365)</f>
        <v>26.821885985777566</v>
      </c>
      <c r="F34" s="369">
        <f>+IF(ISERROR(F17/F8*365),0,F17/F8*365)</f>
        <v>32.48507507117418</v>
      </c>
      <c r="G34" s="368">
        <f>'AS2'!F23</f>
        <v>18.100000000000001</v>
      </c>
      <c r="H34" s="368">
        <f>'AS2'!G23</f>
        <v>18.100000000000001</v>
      </c>
      <c r="I34" s="368">
        <f>'AS2'!H23</f>
        <v>18.100000000000001</v>
      </c>
      <c r="J34" s="368">
        <f>'AS2'!I23</f>
        <v>18.100000000000001</v>
      </c>
      <c r="K34" s="370">
        <f>'AS2'!J23</f>
        <v>18.100000000000001</v>
      </c>
    </row>
    <row r="35" spans="2:11" ht="27.75" customHeight="1">
      <c r="B35" s="46" t="s">
        <v>109</v>
      </c>
      <c r="C35" s="336">
        <f>+IF(ISERROR(C18/C7),0,C18/C7)</f>
        <v>8.8095355718600457E-2</v>
      </c>
      <c r="D35" s="336">
        <f>+IF(ISERROR(D18/D7),0,D18/D7)</f>
        <v>7.1514733574445002E-2</v>
      </c>
      <c r="E35" s="336">
        <f>+IF(ISERROR(E18/E7),0,E18/E7)</f>
        <v>6.1884991123150192E-2</v>
      </c>
      <c r="F35" s="371">
        <f>+IF(ISERROR(F18/F7),0,F18/F7)</f>
        <v>5.7457597570862537E-2</v>
      </c>
      <c r="G35" s="336">
        <f>'AS2'!F28</f>
        <v>6.4000000000000001E-2</v>
      </c>
      <c r="H35" s="336">
        <f>'AS2'!G28</f>
        <v>6.4000000000000001E-2</v>
      </c>
      <c r="I35" s="336">
        <f>'AS2'!H28</f>
        <v>6.4000000000000001E-2</v>
      </c>
      <c r="J35" s="336">
        <f>'AS2'!I28</f>
        <v>6.4000000000000001E-2</v>
      </c>
      <c r="K35" s="338">
        <f>'AS2'!J28</f>
        <v>6.4000000000000001E-2</v>
      </c>
    </row>
    <row r="36" spans="2:11" ht="23.25" customHeight="1">
      <c r="B36" s="47" t="s">
        <v>110</v>
      </c>
      <c r="C36" s="345">
        <f>+IF(ISERROR(C19/C7),0,C19/C7)</f>
        <v>5.255501062138962E-2</v>
      </c>
      <c r="D36" s="345">
        <f>+IF(ISERROR(D19/D7),0,D19/D7)</f>
        <v>5.391920339207406E-2</v>
      </c>
      <c r="E36" s="345">
        <f>+IF(ISERROR(E19/E7),0,E19/E7)</f>
        <v>3.6970072601617061E-2</v>
      </c>
      <c r="F36" s="372">
        <f>+IF(ISERROR(F19/F7),0,F19/F7)</f>
        <v>3.5159192115458503E-2</v>
      </c>
      <c r="G36" s="345">
        <f>'AS2'!F33</f>
        <v>4.2000000000000003E-2</v>
      </c>
      <c r="H36" s="345">
        <f>'AS2'!G33</f>
        <v>4.2000000000000003E-2</v>
      </c>
      <c r="I36" s="345">
        <f>'AS2'!H33</f>
        <v>4.2000000000000003E-2</v>
      </c>
      <c r="J36" s="345">
        <f>'AS2'!I33</f>
        <v>4.2000000000000003E-2</v>
      </c>
      <c r="K36" s="346">
        <f>'AS2'!J33</f>
        <v>4.2000000000000003E-2</v>
      </c>
    </row>
    <row r="37" spans="2:11">
      <c r="B37" s="15"/>
      <c r="C37" s="16"/>
      <c r="D37" s="16"/>
      <c r="E37" s="16"/>
      <c r="F37" s="16"/>
      <c r="G37" s="16"/>
      <c r="H37" s="16"/>
      <c r="I37" s="16"/>
      <c r="J37" s="16"/>
      <c r="K37" s="16"/>
    </row>
  </sheetData>
  <mergeCells count="1">
    <mergeCell ref="G5:K5"/>
  </mergeCells>
  <phoneticPr fontId="15" type="noConversion"/>
  <pageMargins left="0.75" right="0.75" top="1" bottom="1" header="0.5" footer="0.5"/>
  <pageSetup scale="84"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9">
    <tabColor theme="5" tint="0.79998168889431442"/>
    <pageSetUpPr fitToPage="1"/>
  </sheetPr>
  <dimension ref="A1:P36"/>
  <sheetViews>
    <sheetView showGridLines="0" topLeftCell="B1" zoomScale="85" zoomScaleNormal="85" workbookViewId="0">
      <selection activeCell="F42" sqref="F42"/>
    </sheetView>
  </sheetViews>
  <sheetFormatPr defaultColWidth="9.1796875" defaultRowHeight="12.5"/>
  <cols>
    <col min="1" max="1" width="0.81640625" style="56" customWidth="1"/>
    <col min="2" max="4" width="15.7265625" style="56" customWidth="1"/>
    <col min="5" max="5" width="10.7265625" style="56" customWidth="1"/>
    <col min="6" max="6" width="22.7265625" style="56" customWidth="1"/>
    <col min="7" max="12" width="15.26953125" style="56" customWidth="1"/>
    <col min="13" max="13" width="0.81640625" style="56" customWidth="1"/>
    <col min="14" max="16384" width="9.1796875" style="56"/>
  </cols>
  <sheetData>
    <row r="1" spans="1:16" s="2" customFormat="1" ht="20">
      <c r="B1" s="148" t="str">
        <f>Cover!G6</f>
        <v>Planet Fitness, Inc.</v>
      </c>
      <c r="C1" s="149"/>
      <c r="D1" s="149"/>
      <c r="E1" s="149"/>
      <c r="F1" s="149"/>
      <c r="G1" s="149"/>
      <c r="H1" s="149"/>
      <c r="I1" s="149"/>
      <c r="J1" s="149"/>
      <c r="K1" s="149"/>
      <c r="L1" s="149"/>
    </row>
    <row r="2" spans="1:16" s="2" customFormat="1" ht="18">
      <c r="B2" s="150" t="s">
        <v>111</v>
      </c>
      <c r="C2" s="149"/>
      <c r="D2" s="149"/>
      <c r="E2" s="149"/>
      <c r="F2" s="149"/>
      <c r="G2" s="149"/>
      <c r="H2" s="149"/>
      <c r="I2" s="149"/>
      <c r="J2" s="149"/>
      <c r="K2" s="149"/>
      <c r="L2" s="149"/>
    </row>
    <row r="3" spans="1:16" s="2" customFormat="1" ht="13">
      <c r="B3" s="151" t="s">
        <v>112</v>
      </c>
      <c r="C3" s="149"/>
      <c r="D3" s="149"/>
      <c r="E3" s="149"/>
      <c r="F3" s="149"/>
      <c r="G3" s="149"/>
      <c r="H3" s="149"/>
      <c r="I3" s="149"/>
      <c r="J3" s="149"/>
      <c r="K3" s="149"/>
      <c r="L3" s="149"/>
      <c r="M3" s="54"/>
    </row>
    <row r="4" spans="1:16" s="55" customFormat="1">
      <c r="A4" s="60"/>
      <c r="B4" s="60"/>
      <c r="C4" s="60"/>
      <c r="D4" s="60"/>
      <c r="E4" s="60"/>
      <c r="F4" s="60"/>
      <c r="G4" s="60"/>
      <c r="H4" s="60"/>
      <c r="I4" s="60"/>
      <c r="J4" s="60"/>
      <c r="K4" s="60"/>
      <c r="L4" s="60"/>
      <c r="M4" s="60"/>
      <c r="N4" s="2"/>
      <c r="O4" s="2"/>
      <c r="P4" s="2"/>
    </row>
    <row r="5" spans="1:16" s="125" customFormat="1">
      <c r="A5" s="60"/>
      <c r="B5" s="60"/>
      <c r="C5" s="60"/>
      <c r="D5" s="60"/>
      <c r="E5" s="60"/>
      <c r="F5" s="60"/>
      <c r="G5" s="60"/>
      <c r="H5" s="60"/>
      <c r="I5" s="60"/>
      <c r="J5" s="60"/>
      <c r="K5" s="60"/>
      <c r="L5" s="60"/>
      <c r="M5" s="60"/>
      <c r="N5" s="60"/>
      <c r="O5" s="60"/>
      <c r="P5" s="60"/>
    </row>
    <row r="6" spans="1:16" s="125" customFormat="1" ht="13">
      <c r="A6" s="60"/>
      <c r="B6" s="155" t="s">
        <v>113</v>
      </c>
      <c r="C6" s="155"/>
      <c r="D6" s="155"/>
      <c r="E6" s="60"/>
      <c r="F6" s="154" t="s">
        <v>114</v>
      </c>
      <c r="G6" s="154"/>
      <c r="H6" s="202"/>
      <c r="I6" s="154"/>
      <c r="J6" s="154"/>
      <c r="K6" s="154"/>
      <c r="L6" s="154"/>
      <c r="M6" s="60"/>
      <c r="N6" s="60"/>
      <c r="O6" s="60"/>
      <c r="P6" s="60"/>
    </row>
    <row r="7" spans="1:16" ht="13">
      <c r="A7" s="60"/>
      <c r="B7" s="48" t="s">
        <v>115</v>
      </c>
      <c r="C7" s="60"/>
      <c r="D7" s="60"/>
      <c r="E7" s="60"/>
      <c r="F7" s="1"/>
      <c r="G7" s="3" t="s">
        <v>116</v>
      </c>
      <c r="H7" s="3" t="s">
        <v>117</v>
      </c>
      <c r="I7" s="3" t="s">
        <v>117</v>
      </c>
      <c r="J7" s="3" t="s">
        <v>118</v>
      </c>
      <c r="K7" s="3" t="s">
        <v>119</v>
      </c>
      <c r="L7" s="3" t="s">
        <v>120</v>
      </c>
      <c r="M7" s="60"/>
      <c r="N7" s="60"/>
      <c r="O7" s="60"/>
      <c r="P7" s="60"/>
    </row>
    <row r="8" spans="1:16" ht="13">
      <c r="A8" s="60"/>
      <c r="B8" s="1" t="s">
        <v>121</v>
      </c>
      <c r="C8" s="1"/>
      <c r="D8" s="308">
        <f>'WACC Documentation'!D7</f>
        <v>0.25507846770875148</v>
      </c>
      <c r="E8" s="60"/>
      <c r="F8" s="152" t="s">
        <v>122</v>
      </c>
      <c r="G8" s="153" t="s">
        <v>123</v>
      </c>
      <c r="H8" s="153" t="s">
        <v>124</v>
      </c>
      <c r="I8" s="153" t="s">
        <v>125</v>
      </c>
      <c r="J8" s="153" t="s">
        <v>126</v>
      </c>
      <c r="K8" s="153" t="s">
        <v>61</v>
      </c>
      <c r="L8" s="153" t="s">
        <v>127</v>
      </c>
      <c r="M8" s="60"/>
      <c r="N8" s="60"/>
      <c r="O8" s="60"/>
      <c r="P8" s="60"/>
    </row>
    <row r="9" spans="1:16">
      <c r="A9" s="60"/>
      <c r="B9" s="373" t="s">
        <v>128</v>
      </c>
      <c r="C9" s="60"/>
      <c r="D9" s="392">
        <f>1-D8</f>
        <v>0.74492153229124858</v>
      </c>
      <c r="E9" s="60"/>
      <c r="F9" s="214" t="s">
        <v>129</v>
      </c>
      <c r="G9" s="215">
        <f>'WACC Documentation'!D21</f>
        <v>1.41</v>
      </c>
      <c r="H9" s="309">
        <f>'WACC Documentation'!D25</f>
        <v>379623</v>
      </c>
      <c r="I9" s="309">
        <v>291551.01</v>
      </c>
      <c r="J9" s="375">
        <f>+IF(ISERROR(H9/I9),0,H9/I9)</f>
        <v>1.3020808948663907</v>
      </c>
      <c r="K9" s="393">
        <v>0.27700000000000002</v>
      </c>
      <c r="L9" s="376">
        <f>+G9/(1+(J9)*(1-K9))</f>
        <v>0.72627832553702365</v>
      </c>
      <c r="M9" s="60"/>
      <c r="N9" s="162"/>
      <c r="O9" s="60"/>
      <c r="P9" s="60"/>
    </row>
    <row r="10" spans="1:16">
      <c r="A10" s="60"/>
      <c r="B10" s="373"/>
      <c r="C10" s="60"/>
      <c r="D10" s="377"/>
      <c r="E10" s="60"/>
      <c r="F10" s="214" t="s">
        <v>130</v>
      </c>
      <c r="G10" s="215">
        <f>'WACC Documentation'!D31</f>
        <v>1.68</v>
      </c>
      <c r="H10" s="309">
        <f>'WACC Documentation'!D35</f>
        <v>1535741</v>
      </c>
      <c r="I10" s="309">
        <v>6380000</v>
      </c>
      <c r="J10" s="375">
        <f t="shared" ref="J10" si="0">+IF(ISERROR(H10/I10),0,H10/I10)</f>
        <v>0.24071175548589341</v>
      </c>
      <c r="K10" s="308">
        <v>0.27700000000000002</v>
      </c>
      <c r="L10" s="376">
        <f>+G10/(1+(J10)*(1-K10))</f>
        <v>1.430962938504065</v>
      </c>
      <c r="M10" s="60"/>
      <c r="N10" s="163"/>
      <c r="O10" s="60"/>
      <c r="P10" s="60"/>
    </row>
    <row r="11" spans="1:16">
      <c r="A11" s="60"/>
      <c r="B11" s="60"/>
      <c r="C11" s="60"/>
      <c r="D11" s="60"/>
      <c r="E11" s="60"/>
      <c r="F11" s="214"/>
      <c r="G11" s="215"/>
      <c r="H11" s="441"/>
      <c r="I11" s="441"/>
      <c r="J11" s="375"/>
      <c r="K11" s="308"/>
      <c r="L11" s="376"/>
      <c r="M11" s="60"/>
      <c r="N11" s="429"/>
      <c r="O11" s="60"/>
      <c r="P11" s="60"/>
    </row>
    <row r="12" spans="1:16" ht="13">
      <c r="A12" s="60"/>
      <c r="B12" s="48" t="s">
        <v>131</v>
      </c>
      <c r="C12" s="1"/>
      <c r="D12" s="1"/>
      <c r="E12" s="60"/>
      <c r="F12" s="214"/>
      <c r="G12" s="215"/>
      <c r="H12" s="216"/>
      <c r="I12" s="309"/>
      <c r="J12" s="374"/>
      <c r="K12" s="308"/>
      <c r="L12" s="376"/>
      <c r="M12" s="60"/>
      <c r="N12" s="429"/>
      <c r="O12" s="60"/>
      <c r="P12" s="60"/>
    </row>
    <row r="13" spans="1:16">
      <c r="A13" s="60"/>
      <c r="B13" s="1" t="s">
        <v>132</v>
      </c>
      <c r="C13" s="1"/>
      <c r="D13" s="308">
        <f>'WACC Documentation'!D11</f>
        <v>3.8836455341201538E-2</v>
      </c>
      <c r="E13" s="60"/>
      <c r="F13" s="214"/>
      <c r="G13" s="215"/>
      <c r="H13" s="309"/>
      <c r="I13" s="309"/>
      <c r="J13" s="374"/>
      <c r="K13" s="308"/>
      <c r="L13" s="376"/>
      <c r="M13" s="60"/>
      <c r="N13" s="163"/>
      <c r="O13" s="60"/>
      <c r="P13" s="60"/>
    </row>
    <row r="14" spans="1:16">
      <c r="A14" s="60"/>
      <c r="B14" s="1" t="s">
        <v>61</v>
      </c>
      <c r="C14" s="1"/>
      <c r="D14" s="308">
        <v>0.27700000000000002</v>
      </c>
      <c r="E14" s="60"/>
      <c r="F14" s="14"/>
      <c r="G14" s="378"/>
      <c r="H14" s="379"/>
      <c r="I14" s="379"/>
      <c r="J14" s="380"/>
      <c r="K14" s="381"/>
      <c r="L14" s="382"/>
      <c r="M14" s="60"/>
      <c r="N14" s="60"/>
      <c r="O14" s="60"/>
      <c r="P14" s="60"/>
    </row>
    <row r="15" spans="1:16" ht="13">
      <c r="A15" s="60"/>
      <c r="B15" s="4" t="s">
        <v>133</v>
      </c>
      <c r="C15" s="4"/>
      <c r="D15" s="312">
        <f>+D13*(1-D14)</f>
        <v>2.8078757211688711E-2</v>
      </c>
      <c r="E15" s="60"/>
      <c r="F15" s="51" t="s">
        <v>134</v>
      </c>
      <c r="G15" s="217">
        <f>AVERAGE(G9:G14)</f>
        <v>1.5449999999999999</v>
      </c>
      <c r="H15" s="38"/>
      <c r="I15" s="38"/>
      <c r="J15" s="394">
        <f>AVERAGE(J9:J14)</f>
        <v>0.77139632517614198</v>
      </c>
      <c r="K15" s="38"/>
      <c r="L15" s="217">
        <f>AVERAGE(L9:L14)</f>
        <v>1.0786206320205443</v>
      </c>
      <c r="M15" s="60"/>
      <c r="N15" s="60"/>
      <c r="O15" s="60"/>
      <c r="P15" s="60"/>
    </row>
    <row r="16" spans="1:16" ht="13">
      <c r="A16" s="60"/>
      <c r="B16" s="4"/>
      <c r="C16" s="4"/>
      <c r="D16" s="60"/>
      <c r="E16" s="383"/>
      <c r="F16" s="51" t="s">
        <v>135</v>
      </c>
      <c r="G16" s="217">
        <f>MEDIAN(G9:G14)</f>
        <v>1.5449999999999999</v>
      </c>
      <c r="H16" s="38"/>
      <c r="I16" s="38"/>
      <c r="J16" s="394">
        <f>MEDIAN(J9:J14)</f>
        <v>0.77139632517614209</v>
      </c>
      <c r="K16" s="38"/>
      <c r="L16" s="217">
        <f>MEDIAN(L9:L14)</f>
        <v>1.0786206320205443</v>
      </c>
      <c r="M16" s="60"/>
      <c r="N16" s="60"/>
      <c r="O16" s="60"/>
      <c r="P16" s="60"/>
    </row>
    <row r="17" spans="2:12">
      <c r="B17" s="60"/>
      <c r="C17" s="60"/>
      <c r="D17" s="60"/>
      <c r="E17" s="383"/>
      <c r="F17" s="60"/>
      <c r="G17" s="60"/>
      <c r="H17" s="60"/>
      <c r="I17" s="60"/>
      <c r="J17" s="60"/>
      <c r="K17" s="60"/>
      <c r="L17" s="60"/>
    </row>
    <row r="18" spans="2:12" s="125" customFormat="1" ht="13">
      <c r="B18" s="48" t="s">
        <v>136</v>
      </c>
      <c r="C18" s="1"/>
      <c r="D18" s="1"/>
      <c r="E18" s="383"/>
      <c r="F18" s="154" t="s">
        <v>137</v>
      </c>
      <c r="G18" s="154"/>
      <c r="H18" s="154"/>
      <c r="I18" s="154"/>
      <c r="J18" s="154"/>
      <c r="K18" s="154"/>
      <c r="L18" s="154"/>
    </row>
    <row r="19" spans="2:12" ht="13">
      <c r="B19" s="1" t="s">
        <v>138</v>
      </c>
      <c r="C19" s="1"/>
      <c r="D19" s="308">
        <v>4.6719999999999998E-2</v>
      </c>
      <c r="E19" s="383"/>
      <c r="F19" s="1"/>
      <c r="G19" s="1"/>
      <c r="H19" s="1"/>
      <c r="I19" s="3" t="s">
        <v>139</v>
      </c>
      <c r="J19" s="3" t="s">
        <v>140</v>
      </c>
      <c r="K19" s="3" t="s">
        <v>140</v>
      </c>
      <c r="L19" s="1"/>
    </row>
    <row r="20" spans="2:12" ht="13">
      <c r="B20" s="1" t="s">
        <v>141</v>
      </c>
      <c r="C20" s="1"/>
      <c r="D20" s="308">
        <v>4.4600000000000001E-2</v>
      </c>
      <c r="E20" s="383"/>
      <c r="F20" s="1"/>
      <c r="G20" s="1"/>
      <c r="H20" s="1"/>
      <c r="I20" s="3" t="s">
        <v>120</v>
      </c>
      <c r="J20" s="3" t="s">
        <v>118</v>
      </c>
      <c r="K20" s="3" t="s">
        <v>119</v>
      </c>
      <c r="L20" s="3" t="s">
        <v>142</v>
      </c>
    </row>
    <row r="21" spans="2:12" ht="13">
      <c r="B21" s="1" t="s">
        <v>143</v>
      </c>
      <c r="C21" s="1"/>
      <c r="D21" s="376">
        <f>+L22</f>
        <v>1.3456569260068474</v>
      </c>
      <c r="E21" s="383"/>
      <c r="F21" s="1"/>
      <c r="G21" s="1"/>
      <c r="H21" s="1"/>
      <c r="I21" s="153" t="s">
        <v>127</v>
      </c>
      <c r="J21" s="153" t="s">
        <v>126</v>
      </c>
      <c r="K21" s="153" t="s">
        <v>61</v>
      </c>
      <c r="L21" s="153" t="s">
        <v>127</v>
      </c>
    </row>
    <row r="22" spans="2:12" ht="13">
      <c r="B22" s="60" t="s">
        <v>144</v>
      </c>
      <c r="C22" s="60"/>
      <c r="D22" s="308">
        <v>5.0000000000000001E-3</v>
      </c>
      <c r="E22" s="383"/>
      <c r="F22" s="4" t="s">
        <v>145</v>
      </c>
      <c r="G22" s="1"/>
      <c r="H22" s="1"/>
      <c r="I22" s="376">
        <f>L15</f>
        <v>1.0786206320205443</v>
      </c>
      <c r="J22" s="392">
        <f>D8/D9</f>
        <v>0.3424232709775144</v>
      </c>
      <c r="K22" s="392">
        <f>D14</f>
        <v>0.27700000000000002</v>
      </c>
      <c r="L22" s="218">
        <f>+I22*(1+(J22)*(1-K22))</f>
        <v>1.3456569260068474</v>
      </c>
    </row>
    <row r="23" spans="2:12" ht="13">
      <c r="B23" s="4" t="s">
        <v>146</v>
      </c>
      <c r="C23" s="1"/>
      <c r="D23" s="312">
        <f>+D19+(D21*D20)+D22</f>
        <v>0.1117362988999054</v>
      </c>
      <c r="E23" s="383"/>
      <c r="F23" s="4"/>
      <c r="G23" s="1"/>
      <c r="H23" s="1"/>
      <c r="I23" s="1"/>
      <c r="J23" s="53"/>
      <c r="K23" s="53"/>
      <c r="L23" s="93"/>
    </row>
    <row r="24" spans="2:12" s="125" customFormat="1" ht="13">
      <c r="B24" s="4"/>
      <c r="C24" s="1"/>
      <c r="D24" s="60"/>
      <c r="E24" s="383"/>
      <c r="F24" s="154" t="s">
        <v>147</v>
      </c>
      <c r="G24" s="154"/>
      <c r="H24" s="154"/>
      <c r="I24" s="154"/>
      <c r="J24" s="154"/>
      <c r="K24" s="154"/>
      <c r="L24" s="154"/>
    </row>
    <row r="25" spans="2:12" ht="13">
      <c r="B25" s="48"/>
      <c r="C25" s="1"/>
      <c r="D25" s="1"/>
      <c r="E25" s="383"/>
      <c r="F25" s="27"/>
      <c r="G25" s="60"/>
      <c r="H25" s="571" t="s">
        <v>148</v>
      </c>
      <c r="I25" s="571"/>
      <c r="J25" s="571"/>
      <c r="K25" s="571"/>
      <c r="L25" s="571"/>
    </row>
    <row r="26" spans="2:12" ht="13">
      <c r="B26" s="4" t="s">
        <v>29</v>
      </c>
      <c r="C26" s="1"/>
      <c r="D26" s="312">
        <f>(D8*D15)+(D9*D23)</f>
        <v>9.0397061353794092E-2</v>
      </c>
      <c r="E26" s="383"/>
      <c r="F26" s="567" t="s">
        <v>121</v>
      </c>
      <c r="G26" s="68">
        <f>D26</f>
        <v>9.0397061353794092E-2</v>
      </c>
      <c r="H26" s="219">
        <f>I26-0.005</f>
        <v>2.883645534120154E-2</v>
      </c>
      <c r="I26" s="219">
        <f>J26-0.005</f>
        <v>3.3836455341201541E-2</v>
      </c>
      <c r="J26" s="220">
        <f>D13</f>
        <v>3.8836455341201538E-2</v>
      </c>
      <c r="K26" s="219">
        <f>J26+0.005</f>
        <v>4.3836455341201536E-2</v>
      </c>
      <c r="L26" s="219">
        <f>K26+0.005</f>
        <v>4.8836455341201533E-2</v>
      </c>
    </row>
    <row r="27" spans="2:12" ht="13">
      <c r="B27" s="384"/>
      <c r="C27" s="384"/>
      <c r="D27" s="384"/>
      <c r="E27" s="383"/>
      <c r="F27" s="567"/>
      <c r="G27" s="69">
        <f>G28-0.1</f>
        <v>5.5078467708751466E-2</v>
      </c>
      <c r="H27" s="82">
        <f t="dataTable" ref="H27:L31" dt2D="1" dtr="0" r1="D13" r2="D8" ca="1"/>
        <v>9.7392191592343719E-2</v>
      </c>
      <c r="I27" s="58">
        <v>9.719308293157658E-2</v>
      </c>
      <c r="J27" s="58">
        <v>9.719308293157658E-2</v>
      </c>
      <c r="K27" s="58">
        <v>9.7392191592343719E-2</v>
      </c>
      <c r="L27" s="58">
        <v>9.7790408913877983E-2</v>
      </c>
    </row>
    <row r="28" spans="2:12" ht="13">
      <c r="B28" s="60"/>
      <c r="C28" s="60"/>
      <c r="D28" s="60"/>
      <c r="E28" s="383"/>
      <c r="F28" s="567"/>
      <c r="G28" s="69">
        <f>G29-0.1</f>
        <v>0.15507846770875147</v>
      </c>
      <c r="H28" s="80">
        <v>0.10181186537238568</v>
      </c>
      <c r="I28" s="121">
        <v>0.10197425671161854</v>
      </c>
      <c r="J28" s="121">
        <v>0.10197425671161854</v>
      </c>
      <c r="K28" s="121">
        <v>0.10181186537238568</v>
      </c>
      <c r="L28" s="58">
        <v>0.10148708269391996</v>
      </c>
    </row>
    <row r="29" spans="2:12" ht="13">
      <c r="B29" s="60"/>
      <c r="C29" s="60"/>
      <c r="D29" s="60"/>
      <c r="E29" s="383"/>
      <c r="F29" s="567"/>
      <c r="G29" s="70">
        <f>D8</f>
        <v>0.25507846770875148</v>
      </c>
      <c r="H29" s="80">
        <v>0.10181186537238568</v>
      </c>
      <c r="I29" s="121">
        <v>0.10197425671161854</v>
      </c>
      <c r="J29" s="79">
        <v>0.10197425671161854</v>
      </c>
      <c r="K29" s="121">
        <v>0.10181186537238568</v>
      </c>
      <c r="L29" s="58">
        <v>0.10148708269391996</v>
      </c>
    </row>
    <row r="30" spans="2:12" ht="13">
      <c r="B30" s="60"/>
      <c r="C30" s="60"/>
      <c r="D30" s="60"/>
      <c r="E30" s="383"/>
      <c r="F30" s="567"/>
      <c r="G30" s="69">
        <f>G29+0.1</f>
        <v>0.35507846770875151</v>
      </c>
      <c r="H30" s="80">
        <v>9.7392191592343719E-2</v>
      </c>
      <c r="I30" s="121">
        <v>9.719308293157658E-2</v>
      </c>
      <c r="J30" s="121">
        <v>9.719308293157658E-2</v>
      </c>
      <c r="K30" s="121">
        <v>9.7392191592343719E-2</v>
      </c>
      <c r="L30" s="58">
        <v>9.7790408913877983E-2</v>
      </c>
    </row>
    <row r="31" spans="2:12" ht="13">
      <c r="B31" s="60"/>
      <c r="C31" s="60"/>
      <c r="D31" s="60"/>
      <c r="E31" s="383"/>
      <c r="F31" s="567"/>
      <c r="G31" s="69">
        <f>G30+0.1</f>
        <v>0.45507846770875149</v>
      </c>
      <c r="H31" s="80">
        <v>8.8552844032259811E-2</v>
      </c>
      <c r="I31" s="58">
        <v>8.7630735371492671E-2</v>
      </c>
      <c r="J31" s="58">
        <v>8.7630735371492671E-2</v>
      </c>
      <c r="K31" s="58">
        <v>8.8552844032259811E-2</v>
      </c>
      <c r="L31" s="58">
        <v>9.0397061353794092E-2</v>
      </c>
    </row>
    <row r="32" spans="2:12">
      <c r="B32" s="384"/>
      <c r="C32" s="384"/>
      <c r="D32" s="384"/>
      <c r="E32" s="383"/>
      <c r="F32" s="60"/>
      <c r="G32" s="60"/>
      <c r="H32" s="60"/>
      <c r="I32" s="60"/>
      <c r="J32" s="60"/>
      <c r="K32" s="60"/>
      <c r="L32" s="60"/>
    </row>
    <row r="33" spans="2:4">
      <c r="B33" t="s">
        <v>149</v>
      </c>
      <c r="C33" s="385"/>
      <c r="D33" s="385"/>
    </row>
    <row r="34" spans="2:4">
      <c r="B34" s="385" t="s">
        <v>150</v>
      </c>
      <c r="C34" s="385"/>
      <c r="D34" s="385"/>
    </row>
    <row r="35" spans="2:4">
      <c r="B35" s="60" t="s">
        <v>151</v>
      </c>
      <c r="C35" s="60"/>
      <c r="D35" s="60"/>
    </row>
    <row r="36" spans="2:4">
      <c r="B36" s="60" t="s">
        <v>152</v>
      </c>
      <c r="C36" s="60"/>
      <c r="D36" s="60"/>
    </row>
  </sheetData>
  <mergeCells count="2">
    <mergeCell ref="H25:L25"/>
    <mergeCell ref="F26:F31"/>
  </mergeCells>
  <phoneticPr fontId="3" type="noConversion"/>
  <pageMargins left="0.75" right="0.75" top="1" bottom="1" header="0.5" footer="0.5"/>
  <pageSetup scale="71"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8ADEA-FD8C-4435-8BB1-0CFA58F8230C}">
  <sheetPr>
    <tabColor theme="5" tint="0.79998168889431442"/>
  </sheetPr>
  <dimension ref="B1:L58"/>
  <sheetViews>
    <sheetView topLeftCell="A45" workbookViewId="0">
      <selection activeCell="F34" sqref="F34"/>
    </sheetView>
  </sheetViews>
  <sheetFormatPr defaultRowHeight="12.5"/>
  <cols>
    <col min="2" max="2" width="14" customWidth="1"/>
    <col min="3" max="3" width="53.26953125" customWidth="1"/>
    <col min="4" max="4" width="19" customWidth="1"/>
    <col min="5" max="5" width="10.81640625" customWidth="1"/>
    <col min="7" max="7" width="44" customWidth="1"/>
    <col min="8" max="9" width="12.81640625" customWidth="1"/>
    <col min="10" max="10" width="12" customWidth="1"/>
    <col min="11" max="11" width="12.26953125" customWidth="1"/>
  </cols>
  <sheetData>
    <row r="1" spans="2:12" ht="13">
      <c r="C1" s="299" t="s">
        <v>38</v>
      </c>
      <c r="H1">
        <v>2024</v>
      </c>
      <c r="I1">
        <v>2023</v>
      </c>
      <c r="J1">
        <v>2022</v>
      </c>
      <c r="K1">
        <v>2021</v>
      </c>
    </row>
    <row r="2" spans="2:12">
      <c r="C2" t="s">
        <v>153</v>
      </c>
      <c r="D2">
        <v>90.65</v>
      </c>
      <c r="E2" t="s">
        <v>154</v>
      </c>
      <c r="F2" s="307" t="s">
        <v>155</v>
      </c>
    </row>
    <row r="3" spans="2:12">
      <c r="C3" t="s">
        <v>156</v>
      </c>
      <c r="D3" s="303">
        <v>82983165</v>
      </c>
      <c r="E3" t="s">
        <v>154</v>
      </c>
      <c r="F3" s="307" t="s">
        <v>155</v>
      </c>
    </row>
    <row r="4" spans="2:12" ht="14.5">
      <c r="B4" t="s">
        <v>157</v>
      </c>
      <c r="C4" t="s">
        <v>158</v>
      </c>
      <c r="D4">
        <f>D2*D3/1000</f>
        <v>7522423.9072500002</v>
      </c>
      <c r="G4" t="s">
        <v>159</v>
      </c>
      <c r="H4" s="292">
        <v>22500</v>
      </c>
      <c r="I4" s="292">
        <v>20750</v>
      </c>
      <c r="J4" s="292">
        <v>20750</v>
      </c>
      <c r="K4" s="292">
        <v>17500</v>
      </c>
      <c r="L4" t="s">
        <v>154</v>
      </c>
    </row>
    <row r="5" spans="2:12" ht="14.5">
      <c r="G5" t="s">
        <v>160</v>
      </c>
      <c r="H5" s="292">
        <v>2553353</v>
      </c>
      <c r="I5" s="292">
        <v>2344463</v>
      </c>
      <c r="J5" s="292">
        <v>2319974</v>
      </c>
      <c r="K5" s="292">
        <v>1937955</v>
      </c>
      <c r="L5" t="s">
        <v>154</v>
      </c>
    </row>
    <row r="6" spans="2:12">
      <c r="C6" t="s">
        <v>161</v>
      </c>
      <c r="D6" s="306">
        <f>D4/(D4+H6)</f>
        <v>0.74492153229124847</v>
      </c>
      <c r="G6" t="s">
        <v>162</v>
      </c>
      <c r="H6" s="305">
        <f>SUM(H4:H5)</f>
        <v>2575853</v>
      </c>
      <c r="I6" s="305">
        <f t="shared" ref="I6:K6" si="0">SUM(I4:I5)</f>
        <v>2365213</v>
      </c>
      <c r="J6" s="305">
        <f t="shared" si="0"/>
        <v>2340724</v>
      </c>
      <c r="K6" s="305">
        <f t="shared" si="0"/>
        <v>1955455</v>
      </c>
    </row>
    <row r="7" spans="2:12">
      <c r="C7" t="s">
        <v>163</v>
      </c>
      <c r="D7" s="306">
        <f>H6/(D4+H6)</f>
        <v>0.25507846770875148</v>
      </c>
    </row>
    <row r="9" spans="2:12">
      <c r="C9" t="s">
        <v>164</v>
      </c>
      <c r="D9" s="305">
        <v>100037</v>
      </c>
      <c r="E9" t="s">
        <v>154</v>
      </c>
      <c r="F9" s="307" t="s">
        <v>155</v>
      </c>
    </row>
    <row r="10" spans="2:12">
      <c r="C10" t="s">
        <v>162</v>
      </c>
      <c r="D10" s="305">
        <f>H6</f>
        <v>2575853</v>
      </c>
    </row>
    <row r="11" spans="2:12" ht="15.5">
      <c r="C11" t="s">
        <v>131</v>
      </c>
      <c r="D11" s="306">
        <f>D9/D10</f>
        <v>3.8836455341201538E-2</v>
      </c>
      <c r="F11" t="s">
        <v>165</v>
      </c>
      <c r="G11" s="458" t="s">
        <v>166</v>
      </c>
    </row>
    <row r="13" spans="2:12" ht="15.5">
      <c r="D13" s="306">
        <v>4.8500000000000001E-2</v>
      </c>
      <c r="F13" t="s">
        <v>167</v>
      </c>
      <c r="G13" s="458" t="s">
        <v>168</v>
      </c>
    </row>
    <row r="20" spans="3:6" ht="13">
      <c r="C20" s="304" t="s">
        <v>169</v>
      </c>
      <c r="D20" s="307"/>
    </row>
    <row r="21" spans="3:6">
      <c r="C21" t="s">
        <v>170</v>
      </c>
      <c r="D21">
        <v>1.41</v>
      </c>
      <c r="E21" t="s">
        <v>391</v>
      </c>
    </row>
    <row r="22" spans="3:6">
      <c r="C22" t="s">
        <v>171</v>
      </c>
      <c r="D22" s="310">
        <v>291900</v>
      </c>
      <c r="E22" t="s">
        <v>154</v>
      </c>
      <c r="F22" s="307" t="s">
        <v>155</v>
      </c>
    </row>
    <row r="23" spans="3:6">
      <c r="C23" t="s">
        <v>172</v>
      </c>
      <c r="D23" s="310">
        <v>14023</v>
      </c>
      <c r="E23" s="310" t="s">
        <v>154</v>
      </c>
      <c r="F23" s="307" t="s">
        <v>155</v>
      </c>
    </row>
    <row r="24" spans="3:6">
      <c r="C24" t="s">
        <v>173</v>
      </c>
      <c r="D24" s="310">
        <v>365600</v>
      </c>
      <c r="E24" s="310" t="s">
        <v>154</v>
      </c>
      <c r="F24" s="307" t="s">
        <v>155</v>
      </c>
    </row>
    <row r="25" spans="3:6">
      <c r="C25" t="s">
        <v>174</v>
      </c>
      <c r="D25" s="310">
        <f>SUM(D23:D24)</f>
        <v>379623</v>
      </c>
      <c r="E25" s="310"/>
    </row>
    <row r="26" spans="3:6">
      <c r="D26" s="310"/>
    </row>
    <row r="27" spans="3:6">
      <c r="C27" t="s">
        <v>175</v>
      </c>
      <c r="D27">
        <v>9.19</v>
      </c>
    </row>
    <row r="30" spans="3:6" ht="13">
      <c r="C30" s="304" t="s">
        <v>176</v>
      </c>
    </row>
    <row r="31" spans="3:6">
      <c r="C31" t="s">
        <v>170</v>
      </c>
      <c r="D31">
        <v>1.68</v>
      </c>
      <c r="E31" t="s">
        <v>392</v>
      </c>
    </row>
    <row r="32" spans="3:6">
      <c r="C32" t="s">
        <v>171</v>
      </c>
      <c r="D32" s="310">
        <v>6410000</v>
      </c>
      <c r="E32" t="s">
        <v>154</v>
      </c>
      <c r="F32" s="307" t="s">
        <v>155</v>
      </c>
    </row>
    <row r="33" spans="3:7">
      <c r="C33" t="s">
        <v>172</v>
      </c>
      <c r="D33" s="310">
        <v>22584</v>
      </c>
      <c r="E33" t="s">
        <v>154</v>
      </c>
      <c r="F33" s="307" t="s">
        <v>155</v>
      </c>
    </row>
    <row r="34" spans="3:7" ht="13">
      <c r="C34" t="s">
        <v>173</v>
      </c>
      <c r="D34" s="314">
        <v>1513157</v>
      </c>
      <c r="E34" t="s">
        <v>154</v>
      </c>
      <c r="F34" s="459" t="s">
        <v>155</v>
      </c>
      <c r="G34" s="313"/>
    </row>
    <row r="35" spans="3:7">
      <c r="C35" t="s">
        <v>174</v>
      </c>
      <c r="D35" s="310">
        <f>SUM(D33:D34)</f>
        <v>1535741</v>
      </c>
    </row>
    <row r="36" spans="3:7">
      <c r="D36" s="310"/>
    </row>
    <row r="37" spans="3:7">
      <c r="C37" t="s">
        <v>175</v>
      </c>
      <c r="D37">
        <v>13.5</v>
      </c>
    </row>
    <row r="39" spans="3:7" ht="13">
      <c r="C39" s="304" t="s">
        <v>177</v>
      </c>
    </row>
    <row r="40" spans="3:7">
      <c r="C40" t="s">
        <v>170</v>
      </c>
      <c r="D40">
        <v>1.1000000000000001</v>
      </c>
      <c r="E40" t="s">
        <v>393</v>
      </c>
    </row>
    <row r="41" spans="3:7">
      <c r="C41" t="s">
        <v>171</v>
      </c>
      <c r="D41" s="310">
        <v>62800</v>
      </c>
      <c r="E41" t="s">
        <v>178</v>
      </c>
    </row>
    <row r="42" spans="3:7">
      <c r="C42" t="s">
        <v>179</v>
      </c>
      <c r="D42" s="310">
        <v>9500</v>
      </c>
    </row>
    <row r="43" spans="3:7">
      <c r="C43" t="s">
        <v>180</v>
      </c>
      <c r="D43" s="310">
        <v>9668</v>
      </c>
    </row>
    <row r="44" spans="3:7">
      <c r="C44" t="s">
        <v>181</v>
      </c>
      <c r="D44" s="310">
        <v>3311</v>
      </c>
    </row>
    <row r="45" spans="3:7">
      <c r="C45" t="s">
        <v>174</v>
      </c>
      <c r="D45" s="310">
        <f>SUM(D42:D44)</f>
        <v>22479</v>
      </c>
    </row>
    <row r="47" spans="3:7">
      <c r="C47" t="s">
        <v>175</v>
      </c>
    </row>
    <row r="49" spans="3:5">
      <c r="D49" s="310"/>
    </row>
    <row r="50" spans="3:5" ht="13">
      <c r="C50" s="229" t="s">
        <v>182</v>
      </c>
      <c r="E50" s="230"/>
    </row>
    <row r="51" spans="3:5">
      <c r="C51" t="s">
        <v>170</v>
      </c>
      <c r="D51">
        <v>2.44</v>
      </c>
      <c r="E51" s="230" t="s">
        <v>394</v>
      </c>
    </row>
    <row r="52" spans="3:5">
      <c r="C52" t="s">
        <v>171</v>
      </c>
      <c r="D52" s="430">
        <v>3540000</v>
      </c>
      <c r="E52" t="s">
        <v>183</v>
      </c>
    </row>
    <row r="53" spans="3:5">
      <c r="C53" t="s">
        <v>179</v>
      </c>
      <c r="D53" s="310"/>
    </row>
    <row r="54" spans="3:5">
      <c r="C54" t="s">
        <v>180</v>
      </c>
      <c r="D54" s="310"/>
    </row>
    <row r="55" spans="3:5">
      <c r="C55" t="s">
        <v>181</v>
      </c>
      <c r="D55" s="310"/>
    </row>
    <row r="56" spans="3:5">
      <c r="C56" t="s">
        <v>174</v>
      </c>
      <c r="D56" s="430">
        <v>2078700</v>
      </c>
    </row>
    <row r="58" spans="3:5">
      <c r="C58" t="s">
        <v>175</v>
      </c>
    </row>
  </sheetData>
  <hyperlinks>
    <hyperlink ref="F22" r:id="rId1" xr:uid="{436CD235-BA73-44F5-9764-C73C0E254BFC}"/>
    <hyperlink ref="F23" r:id="rId2" xr:uid="{7F1B94EF-235B-489B-A60F-5A026EE9ADB8}"/>
    <hyperlink ref="F24" r:id="rId3" xr:uid="{4D0D817D-29B0-4BA0-83F4-6DEBF03556D8}"/>
    <hyperlink ref="F9" r:id="rId4" xr:uid="{3DBE8B49-D790-4F5A-A58A-EA7335CD93F2}"/>
    <hyperlink ref="F2" r:id="rId5" xr:uid="{F55CB829-7272-4AD1-AE98-DA0EA78FFA5C}"/>
    <hyperlink ref="F3" r:id="rId6" xr:uid="{DC9D932B-081F-4F07-8D43-ED2DE31DD9FA}"/>
    <hyperlink ref="F33" r:id="rId7" xr:uid="{411EC70B-081A-4F1F-9209-0BF72477A0AB}"/>
    <hyperlink ref="F32" r:id="rId8" xr:uid="{F2CC0CFE-51D3-4A77-A171-F7FBE8FD93C2}"/>
    <hyperlink ref="F34" r:id="rId9" xr:uid="{6DCD9206-BC97-45FD-9C08-A6DC9AC120E2}"/>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3">
    <tabColor theme="4" tint="0.79998168889431442"/>
  </sheetPr>
  <dimension ref="B1:O31"/>
  <sheetViews>
    <sheetView showGridLines="0" zoomScale="85" workbookViewId="0">
      <selection activeCell="F37" sqref="F37"/>
    </sheetView>
  </sheetViews>
  <sheetFormatPr defaultRowHeight="12.5"/>
  <cols>
    <col min="1" max="1" width="0.81640625" customWidth="1"/>
    <col min="2" max="4" width="9.7265625" customWidth="1"/>
    <col min="5" max="5" width="9.7265625" style="66" customWidth="1"/>
    <col min="6" max="15" width="12.7265625" customWidth="1"/>
  </cols>
  <sheetData>
    <row r="1" spans="2:15" s="125" customFormat="1" ht="15.5">
      <c r="B1" s="173" t="s">
        <v>184</v>
      </c>
      <c r="C1" s="173"/>
      <c r="D1" s="173"/>
      <c r="E1" s="221"/>
      <c r="F1" s="173"/>
      <c r="G1" s="173"/>
      <c r="H1" s="173"/>
      <c r="I1" s="173"/>
      <c r="J1" s="173"/>
      <c r="K1" s="173"/>
      <c r="L1" s="173"/>
      <c r="M1" s="173"/>
      <c r="N1" s="173"/>
      <c r="O1" s="173"/>
    </row>
    <row r="2" spans="2:15" s="56" customFormat="1" ht="13">
      <c r="B2" s="383"/>
      <c r="C2" s="383"/>
      <c r="D2" s="383"/>
      <c r="E2" s="360"/>
      <c r="F2" s="109" t="s">
        <v>10</v>
      </c>
      <c r="G2" s="316"/>
      <c r="H2" s="316"/>
      <c r="I2" s="316"/>
      <c r="J2" s="316"/>
      <c r="K2" s="316"/>
      <c r="L2" s="316"/>
      <c r="M2" s="316"/>
      <c r="N2" s="316"/>
      <c r="O2" s="109"/>
    </row>
    <row r="3" spans="2:15" s="56" customFormat="1" ht="13">
      <c r="B3" s="224"/>
      <c r="C3" s="383"/>
      <c r="D3" s="383"/>
      <c r="E3" s="360"/>
      <c r="F3" s="386">
        <v>1</v>
      </c>
      <c r="G3" s="386">
        <v>2</v>
      </c>
      <c r="H3" s="386">
        <v>3</v>
      </c>
      <c r="I3" s="386">
        <v>4</v>
      </c>
      <c r="J3" s="386">
        <v>5</v>
      </c>
      <c r="K3" s="386">
        <v>6</v>
      </c>
      <c r="L3" s="386">
        <v>7</v>
      </c>
      <c r="M3" s="386">
        <v>8</v>
      </c>
      <c r="N3" s="386">
        <v>9</v>
      </c>
      <c r="O3" s="386">
        <v>10</v>
      </c>
    </row>
    <row r="4" spans="2:15" s="56" customFormat="1" ht="13">
      <c r="B4" s="224"/>
      <c r="C4" s="383"/>
      <c r="D4" s="383"/>
      <c r="E4" s="360"/>
      <c r="F4" s="103">
        <f>+DCF!J6</f>
        <v>2025</v>
      </c>
      <c r="G4" s="103">
        <f>+DCF!K6</f>
        <v>2026</v>
      </c>
      <c r="H4" s="103">
        <f>+DCF!L6</f>
        <v>2027</v>
      </c>
      <c r="I4" s="103">
        <f>+DCF!M6</f>
        <v>2028</v>
      </c>
      <c r="J4" s="103">
        <f>+DCF!N6</f>
        <v>2029</v>
      </c>
      <c r="K4" s="103">
        <f>+J4+1</f>
        <v>2030</v>
      </c>
      <c r="L4" s="103">
        <f>+K4+1</f>
        <v>2031</v>
      </c>
      <c r="M4" s="103">
        <f>+L4+1</f>
        <v>2032</v>
      </c>
      <c r="N4" s="103">
        <f>+M4+1</f>
        <v>2033</v>
      </c>
      <c r="O4" s="103">
        <f>+N4+1</f>
        <v>2034</v>
      </c>
    </row>
    <row r="5" spans="2:15" ht="13">
      <c r="B5" s="224"/>
      <c r="C5" s="383"/>
      <c r="D5" s="383"/>
      <c r="E5" s="360"/>
      <c r="F5" s="75"/>
      <c r="G5" s="75"/>
      <c r="H5" s="75"/>
      <c r="I5" s="75"/>
      <c r="J5" s="75"/>
      <c r="K5" s="75"/>
      <c r="L5" s="75"/>
      <c r="M5" s="75"/>
      <c r="N5" s="75"/>
      <c r="O5" s="75"/>
    </row>
    <row r="6" spans="2:15" s="201" customFormat="1" ht="13">
      <c r="B6" s="387" t="s">
        <v>185</v>
      </c>
      <c r="C6" s="362"/>
      <c r="D6" s="362"/>
      <c r="E6" s="388"/>
      <c r="F6" s="362"/>
      <c r="G6" s="389"/>
      <c r="H6" s="389"/>
      <c r="I6" s="389"/>
      <c r="J6" s="389"/>
      <c r="K6" s="362"/>
      <c r="L6" s="362"/>
      <c r="M6" s="362"/>
      <c r="N6" s="362"/>
      <c r="O6" s="362"/>
    </row>
    <row r="7" spans="2:15">
      <c r="B7" s="224" t="s">
        <v>56</v>
      </c>
      <c r="C7" s="383"/>
      <c r="D7" s="383"/>
      <c r="E7" s="360"/>
      <c r="F7" s="461">
        <f>CHOOSE(DCF!$D$4,F8,F9,F10,#REF!,#REF!)</f>
        <v>0.1</v>
      </c>
      <c r="G7" s="461">
        <f>CHOOSE(DCF!$D$4,G8,G9,G10,#REF!,#REF!)</f>
        <v>9.5000000000000001E-2</v>
      </c>
      <c r="H7" s="461">
        <f>CHOOSE(DCF!$D$4,H8,H9,H10,#REF!,#REF!)</f>
        <v>0.09</v>
      </c>
      <c r="I7" s="461">
        <f>CHOOSE(DCF!$D$4,I8,I9,I10,#REF!,#REF!)</f>
        <v>8.7999999999999995E-2</v>
      </c>
      <c r="J7" s="461">
        <f>CHOOSE(DCF!$D$4,J8,J9,J10,#REF!,#REF!)</f>
        <v>8.7999999999999995E-2</v>
      </c>
      <c r="K7" s="461">
        <f>CHOOSE(DCF!$D$4,K8,K9,K10,#REF!,#REF!)</f>
        <v>8.7999999999999995E-2</v>
      </c>
      <c r="L7" s="461">
        <f>CHOOSE(DCF!$D$4,L8,L9,L10,#REF!,#REF!)</f>
        <v>8.7999999999999995E-2</v>
      </c>
      <c r="M7" s="461">
        <f>CHOOSE(DCF!$D$4,M8,M9,M10,#REF!,#REF!)</f>
        <v>8.7999999999999995E-2</v>
      </c>
      <c r="N7" s="461">
        <f>CHOOSE(DCF!$D$4,N8,N9,N10,#REF!,#REF!)</f>
        <v>8.7999999999999995E-2</v>
      </c>
      <c r="O7" s="461">
        <f>CHOOSE(DCF!$D$4,O8,O9,O10,#REF!,#REF!)</f>
        <v>8.7999999999999995E-2</v>
      </c>
    </row>
    <row r="8" spans="2:15">
      <c r="B8" s="224" t="s">
        <v>186</v>
      </c>
      <c r="C8" s="383"/>
      <c r="D8" s="383"/>
      <c r="E8" s="360">
        <v>1</v>
      </c>
      <c r="F8" s="462">
        <f>'Assumptions 1 Documentation'!C14</f>
        <v>0.1</v>
      </c>
      <c r="G8" s="463">
        <f>'Assumptions 1 Documentation'!C15</f>
        <v>9.5000000000000001E-2</v>
      </c>
      <c r="H8" s="463">
        <f>'Assumptions 1 Documentation'!C16</f>
        <v>0.09</v>
      </c>
      <c r="I8" s="463">
        <f>'Assumptions 1 Documentation'!C17</f>
        <v>8.7999999999999995E-2</v>
      </c>
      <c r="J8" s="463">
        <f>I8</f>
        <v>8.7999999999999995E-2</v>
      </c>
      <c r="K8" s="464">
        <f t="shared" ref="K8:O8" si="0">J8</f>
        <v>8.7999999999999995E-2</v>
      </c>
      <c r="L8" s="464">
        <f t="shared" si="0"/>
        <v>8.7999999999999995E-2</v>
      </c>
      <c r="M8" s="464">
        <f t="shared" si="0"/>
        <v>8.7999999999999995E-2</v>
      </c>
      <c r="N8" s="464">
        <f t="shared" si="0"/>
        <v>8.7999999999999995E-2</v>
      </c>
      <c r="O8" s="465">
        <f t="shared" si="0"/>
        <v>8.7999999999999995E-2</v>
      </c>
    </row>
    <row r="9" spans="2:15">
      <c r="B9" s="224" t="s">
        <v>187</v>
      </c>
      <c r="C9" s="383"/>
      <c r="D9" s="383"/>
      <c r="E9" s="360">
        <v>2</v>
      </c>
      <c r="F9" s="466">
        <f>'Assumptions 1 Documentation'!C26</f>
        <v>0.12303489774353041</v>
      </c>
      <c r="G9" s="467">
        <f>'Assumptions 1 Documentation'!C27</f>
        <v>0.11786057664109809</v>
      </c>
      <c r="H9" s="467">
        <f>'Assumptions 1 Documentation'!C28</f>
        <v>0.11219337113860908</v>
      </c>
      <c r="I9" s="467">
        <f>'Assumptions 1 Documentation'!C29</f>
        <v>0.10956873004328452</v>
      </c>
      <c r="J9" s="467">
        <f>I9</f>
        <v>0.10956873004328452</v>
      </c>
      <c r="K9" s="468">
        <f t="shared" ref="K9:O10" si="1">J9</f>
        <v>0.10956873004328452</v>
      </c>
      <c r="L9" s="468">
        <f t="shared" si="1"/>
        <v>0.10956873004328452</v>
      </c>
      <c r="M9" s="468">
        <f t="shared" si="1"/>
        <v>0.10956873004328452</v>
      </c>
      <c r="N9" s="468">
        <f t="shared" si="1"/>
        <v>0.10956873004328452</v>
      </c>
      <c r="O9" s="469">
        <f t="shared" si="1"/>
        <v>0.10956873004328452</v>
      </c>
    </row>
    <row r="10" spans="2:15">
      <c r="B10" s="224" t="s">
        <v>188</v>
      </c>
      <c r="C10" s="383"/>
      <c r="D10" s="383"/>
      <c r="E10" s="360">
        <v>3</v>
      </c>
      <c r="F10" s="466">
        <f>'Assumptions 1 Documentation'!C38</f>
        <v>6.5000000000000002E-2</v>
      </c>
      <c r="G10" s="467">
        <f>'Assumptions 1 Documentation'!C39</f>
        <v>0.06</v>
      </c>
      <c r="H10" s="467">
        <f>'Assumptions 1 Documentation'!C40</f>
        <v>5.4999999999999993E-2</v>
      </c>
      <c r="I10" s="467">
        <f>'Assumptions 1 Documentation'!C41</f>
        <v>5.2999999999999992E-2</v>
      </c>
      <c r="J10" s="467">
        <f>I10</f>
        <v>5.2999999999999992E-2</v>
      </c>
      <c r="K10" s="468">
        <f t="shared" si="1"/>
        <v>5.2999999999999992E-2</v>
      </c>
      <c r="L10" s="468">
        <f t="shared" si="1"/>
        <v>5.2999999999999992E-2</v>
      </c>
      <c r="M10" s="468">
        <f t="shared" si="1"/>
        <v>5.2999999999999992E-2</v>
      </c>
      <c r="N10" s="468">
        <f t="shared" si="1"/>
        <v>5.2999999999999992E-2</v>
      </c>
      <c r="O10" s="469">
        <f t="shared" si="1"/>
        <v>5.2999999999999992E-2</v>
      </c>
    </row>
    <row r="11" spans="2:15">
      <c r="B11" s="224"/>
      <c r="C11" s="383"/>
      <c r="D11" s="383"/>
      <c r="E11" s="360"/>
      <c r="F11" s="470"/>
      <c r="G11" s="470"/>
      <c r="H11" s="470"/>
      <c r="I11" s="470"/>
      <c r="J11" s="470"/>
      <c r="K11" s="470"/>
      <c r="L11" s="470"/>
      <c r="M11" s="470"/>
      <c r="N11" s="470"/>
      <c r="O11" s="470"/>
    </row>
    <row r="12" spans="2:15">
      <c r="B12" s="224" t="s">
        <v>189</v>
      </c>
      <c r="C12" s="383"/>
      <c r="D12" s="383"/>
      <c r="E12" s="360"/>
      <c r="F12" s="461">
        <f>CHOOSE(DCF!$D$4,F13,F14,F15,#REF!,#REF!)</f>
        <v>0.315</v>
      </c>
      <c r="G12" s="461">
        <f>CHOOSE(DCF!$D$4,G13,G14,G15,#REF!,#REF!)</f>
        <v>0.315</v>
      </c>
      <c r="H12" s="461">
        <f>CHOOSE(DCF!$D$4,H13,H14,H15,#REF!,#REF!)</f>
        <v>0.315</v>
      </c>
      <c r="I12" s="461">
        <f>CHOOSE(DCF!$D$4,I13,I14,I15,#REF!,#REF!)</f>
        <v>0.315</v>
      </c>
      <c r="J12" s="461">
        <f>CHOOSE(DCF!$D$4,J13,J14,J15,#REF!,#REF!)</f>
        <v>0.315</v>
      </c>
      <c r="K12" s="461">
        <f>CHOOSE(DCF!$D$4,K13,K14,K15,#REF!,#REF!)</f>
        <v>0.315</v>
      </c>
      <c r="L12" s="461">
        <f>CHOOSE(DCF!$D$4,L13,L14,L15,#REF!,#REF!)</f>
        <v>0.315</v>
      </c>
      <c r="M12" s="461">
        <f>CHOOSE(DCF!$D$4,M13,M14,M15,#REF!,#REF!)</f>
        <v>0.315</v>
      </c>
      <c r="N12" s="461">
        <f>CHOOSE(DCF!$D$4,N13,N14,N15,#REF!,#REF!)</f>
        <v>0.315</v>
      </c>
      <c r="O12" s="461">
        <f>CHOOSE(DCF!$D$4,O13,O14,O15,#REF!,#REF!)</f>
        <v>0.315</v>
      </c>
    </row>
    <row r="13" spans="2:15">
      <c r="B13" s="224" t="s">
        <v>186</v>
      </c>
      <c r="C13" s="383"/>
      <c r="D13" s="383"/>
      <c r="E13" s="360">
        <v>1</v>
      </c>
      <c r="F13" s="462">
        <f>'Assumptions 1 Documentation'!$V$12</f>
        <v>0.315</v>
      </c>
      <c r="G13" s="463">
        <f>'Assumptions 1 Documentation'!$V$12</f>
        <v>0.315</v>
      </c>
      <c r="H13" s="463">
        <f>'Assumptions 1 Documentation'!$V$12</f>
        <v>0.315</v>
      </c>
      <c r="I13" s="463">
        <f>'Assumptions 1 Documentation'!$V$12</f>
        <v>0.315</v>
      </c>
      <c r="J13" s="463">
        <f>'Assumptions 1 Documentation'!$V$12</f>
        <v>0.315</v>
      </c>
      <c r="K13" s="464">
        <f>'Assumptions 1 Documentation'!$V$12</f>
        <v>0.315</v>
      </c>
      <c r="L13" s="464">
        <f>'Assumptions 1 Documentation'!$V$12</f>
        <v>0.315</v>
      </c>
      <c r="M13" s="464">
        <f>'Assumptions 1 Documentation'!$V$12</f>
        <v>0.315</v>
      </c>
      <c r="N13" s="464">
        <f>'Assumptions 1 Documentation'!$V$12</f>
        <v>0.315</v>
      </c>
      <c r="O13" s="465">
        <f>'Assumptions 1 Documentation'!$V$12</f>
        <v>0.315</v>
      </c>
    </row>
    <row r="14" spans="2:15">
      <c r="B14" s="224" t="s">
        <v>187</v>
      </c>
      <c r="C14" s="383"/>
      <c r="D14" s="383"/>
      <c r="E14" s="360">
        <v>2</v>
      </c>
      <c r="F14" s="466">
        <f>'Assumptions 1 Documentation'!$V$18</f>
        <v>0.30499999999999999</v>
      </c>
      <c r="G14" s="467">
        <f>'Assumptions 1 Documentation'!$V$18</f>
        <v>0.30499999999999999</v>
      </c>
      <c r="H14" s="467">
        <f>'Assumptions 1 Documentation'!$V$18</f>
        <v>0.30499999999999999</v>
      </c>
      <c r="I14" s="467">
        <f>'Assumptions 1 Documentation'!$V$18</f>
        <v>0.30499999999999999</v>
      </c>
      <c r="J14" s="467">
        <f>'Assumptions 1 Documentation'!$V$18</f>
        <v>0.30499999999999999</v>
      </c>
      <c r="K14" s="468">
        <f>'Assumptions 1 Documentation'!$V$18</f>
        <v>0.30499999999999999</v>
      </c>
      <c r="L14" s="468">
        <f>'Assumptions 1 Documentation'!$V$18</f>
        <v>0.30499999999999999</v>
      </c>
      <c r="M14" s="468">
        <f>'Assumptions 1 Documentation'!$V$18</f>
        <v>0.30499999999999999</v>
      </c>
      <c r="N14" s="468">
        <f>'Assumptions 1 Documentation'!$V$18</f>
        <v>0.30499999999999999</v>
      </c>
      <c r="O14" s="469">
        <f>'Assumptions 1 Documentation'!$V$18</f>
        <v>0.30499999999999999</v>
      </c>
    </row>
    <row r="15" spans="2:15">
      <c r="B15" s="224" t="s">
        <v>188</v>
      </c>
      <c r="C15" s="383"/>
      <c r="D15" s="383"/>
      <c r="E15" s="360">
        <v>3</v>
      </c>
      <c r="F15" s="466">
        <f>'Assumptions 1 Documentation'!$V$23</f>
        <v>0.32500000000000001</v>
      </c>
      <c r="G15" s="467">
        <f>'Assumptions 1 Documentation'!$V$23</f>
        <v>0.32500000000000001</v>
      </c>
      <c r="H15" s="467">
        <f>'Assumptions 1 Documentation'!$V$23</f>
        <v>0.32500000000000001</v>
      </c>
      <c r="I15" s="467">
        <f>'Assumptions 1 Documentation'!$V$23</f>
        <v>0.32500000000000001</v>
      </c>
      <c r="J15" s="467">
        <f>'Assumptions 1 Documentation'!$V$23</f>
        <v>0.32500000000000001</v>
      </c>
      <c r="K15" s="468">
        <f>'Assumptions 1 Documentation'!$V$23</f>
        <v>0.32500000000000001</v>
      </c>
      <c r="L15" s="468">
        <f>'Assumptions 1 Documentation'!$V$23</f>
        <v>0.32500000000000001</v>
      </c>
      <c r="M15" s="468">
        <f>'Assumptions 1 Documentation'!$V$23</f>
        <v>0.32500000000000001</v>
      </c>
      <c r="N15" s="468">
        <f>'Assumptions 1 Documentation'!$V$23</f>
        <v>0.32500000000000001</v>
      </c>
      <c r="O15" s="469">
        <f>'Assumptions 1 Documentation'!$V$23</f>
        <v>0.32500000000000001</v>
      </c>
    </row>
    <row r="16" spans="2:15">
      <c r="B16" s="224"/>
      <c r="C16" s="383"/>
      <c r="D16" s="383"/>
      <c r="E16" s="360"/>
      <c r="F16" s="470"/>
      <c r="G16" s="470"/>
      <c r="H16" s="470"/>
      <c r="I16" s="470"/>
      <c r="J16" s="470"/>
      <c r="K16" s="470"/>
      <c r="L16" s="470"/>
      <c r="M16" s="470"/>
      <c r="N16" s="470"/>
      <c r="O16" s="470"/>
    </row>
    <row r="17" spans="2:15">
      <c r="B17" s="224" t="s">
        <v>58</v>
      </c>
      <c r="C17" s="383"/>
      <c r="D17" s="383"/>
      <c r="E17" s="360"/>
      <c r="F17" s="461">
        <f>CHOOSE(DCF!$D$4,F18,F19,F20,#REF!,#REF!)</f>
        <v>0.1</v>
      </c>
      <c r="G17" s="461">
        <f>CHOOSE(DCF!$D$4,G18,G19,G20,#REF!,#REF!)</f>
        <v>0.1</v>
      </c>
      <c r="H17" s="461">
        <f>CHOOSE(DCF!$D$4,H18,H19,H20,#REF!,#REF!)</f>
        <v>0.1</v>
      </c>
      <c r="I17" s="461">
        <f>CHOOSE(DCF!$D$4,I18,I19,I20,#REF!,#REF!)</f>
        <v>0.1</v>
      </c>
      <c r="J17" s="461">
        <f>CHOOSE(DCF!$D$4,J18,J19,J20,#REF!,#REF!)</f>
        <v>0.1</v>
      </c>
      <c r="K17" s="461">
        <f>CHOOSE(DCF!$D$4,K18,K19,K20,#REF!,#REF!)</f>
        <v>0.1</v>
      </c>
      <c r="L17" s="461">
        <f>CHOOSE(DCF!$D$4,L18,L19,L20,#REF!,#REF!)</f>
        <v>0.1</v>
      </c>
      <c r="M17" s="461">
        <f>CHOOSE(DCF!$D$4,M18,M19,M20,#REF!,#REF!)</f>
        <v>0.1</v>
      </c>
      <c r="N17" s="461">
        <f>CHOOSE(DCF!$D$4,N18,N19,N20,#REF!,#REF!)</f>
        <v>0.1</v>
      </c>
      <c r="O17" s="461">
        <f>CHOOSE(DCF!$D$4,O18,O19,O20,#REF!,#REF!)</f>
        <v>0.1</v>
      </c>
    </row>
    <row r="18" spans="2:15">
      <c r="B18" s="224" t="s">
        <v>186</v>
      </c>
      <c r="C18" s="383"/>
      <c r="D18" s="383"/>
      <c r="E18" s="360">
        <v>1</v>
      </c>
      <c r="F18" s="471">
        <f>'Assumptions 1 Documentation'!$AL$13</f>
        <v>0.1</v>
      </c>
      <c r="G18" s="472">
        <f>'Assumptions 1 Documentation'!$AL$13</f>
        <v>0.1</v>
      </c>
      <c r="H18" s="472">
        <f>'Assumptions 1 Documentation'!$AL$13</f>
        <v>0.1</v>
      </c>
      <c r="I18" s="472">
        <f>'Assumptions 1 Documentation'!$AL$13</f>
        <v>0.1</v>
      </c>
      <c r="J18" s="472">
        <f>'Assumptions 1 Documentation'!$AL$13</f>
        <v>0.1</v>
      </c>
      <c r="K18" s="473">
        <f>'Assumptions 1 Documentation'!$AL$13</f>
        <v>0.1</v>
      </c>
      <c r="L18" s="473">
        <f>'Assumptions 1 Documentation'!$AL$13</f>
        <v>0.1</v>
      </c>
      <c r="M18" s="473">
        <f>'Assumptions 1 Documentation'!$AL$13</f>
        <v>0.1</v>
      </c>
      <c r="N18" s="473">
        <f>'Assumptions 1 Documentation'!$AL$13</f>
        <v>0.1</v>
      </c>
      <c r="O18" s="474">
        <f>'Assumptions 1 Documentation'!$AL$13</f>
        <v>0.1</v>
      </c>
    </row>
    <row r="19" spans="2:15">
      <c r="B19" s="224" t="s">
        <v>187</v>
      </c>
      <c r="C19" s="383"/>
      <c r="D19" s="383"/>
      <c r="E19" s="360">
        <v>2</v>
      </c>
      <c r="F19" s="475">
        <f>'Assumptions 1 Documentation'!$AL$19</f>
        <v>9.5000000000000001E-2</v>
      </c>
      <c r="G19" s="476">
        <f>'Assumptions 1 Documentation'!$AL$19</f>
        <v>9.5000000000000001E-2</v>
      </c>
      <c r="H19" s="476">
        <f>'Assumptions 1 Documentation'!$AL$19</f>
        <v>9.5000000000000001E-2</v>
      </c>
      <c r="I19" s="476">
        <f>'Assumptions 1 Documentation'!$AL$19</f>
        <v>9.5000000000000001E-2</v>
      </c>
      <c r="J19" s="476">
        <f>'Assumptions 1 Documentation'!$AL$19</f>
        <v>9.5000000000000001E-2</v>
      </c>
      <c r="K19" s="477">
        <f>'Assumptions 1 Documentation'!$AL$19</f>
        <v>9.5000000000000001E-2</v>
      </c>
      <c r="L19" s="477">
        <f>'Assumptions 1 Documentation'!$AL$19</f>
        <v>9.5000000000000001E-2</v>
      </c>
      <c r="M19" s="477">
        <f>'Assumptions 1 Documentation'!$AL$19</f>
        <v>9.5000000000000001E-2</v>
      </c>
      <c r="N19" s="477">
        <f>'Assumptions 1 Documentation'!$AL$19</f>
        <v>9.5000000000000001E-2</v>
      </c>
      <c r="O19" s="478">
        <f>'Assumptions 1 Documentation'!$AL$19</f>
        <v>9.5000000000000001E-2</v>
      </c>
    </row>
    <row r="20" spans="2:15">
      <c r="B20" s="224" t="s">
        <v>188</v>
      </c>
      <c r="C20" s="383"/>
      <c r="D20" s="383"/>
      <c r="E20" s="360">
        <v>3</v>
      </c>
      <c r="F20" s="475">
        <f>'Assumptions 1 Documentation'!$AL$26</f>
        <v>0.11</v>
      </c>
      <c r="G20" s="476">
        <f>'Assumptions 1 Documentation'!$AL$26</f>
        <v>0.11</v>
      </c>
      <c r="H20" s="476">
        <f>'Assumptions 1 Documentation'!$AL$26</f>
        <v>0.11</v>
      </c>
      <c r="I20" s="476">
        <f>'Assumptions 1 Documentation'!$AL$26</f>
        <v>0.11</v>
      </c>
      <c r="J20" s="476">
        <f>'Assumptions 1 Documentation'!$AL$26</f>
        <v>0.11</v>
      </c>
      <c r="K20" s="477">
        <f>'Assumptions 1 Documentation'!$AL$26</f>
        <v>0.11</v>
      </c>
      <c r="L20" s="477">
        <f>'Assumptions 1 Documentation'!$AL$26</f>
        <v>0.11</v>
      </c>
      <c r="M20" s="477">
        <f>'Assumptions 1 Documentation'!$AL$26</f>
        <v>0.11</v>
      </c>
      <c r="N20" s="477">
        <f>'Assumptions 1 Documentation'!$AL$26</f>
        <v>0.11</v>
      </c>
      <c r="O20" s="478">
        <f>'Assumptions 1 Documentation'!$AL$26</f>
        <v>0.11</v>
      </c>
    </row>
    <row r="21" spans="2:15">
      <c r="B21" s="224"/>
      <c r="C21" s="383"/>
      <c r="D21" s="383"/>
      <c r="E21" s="360"/>
      <c r="F21" s="470"/>
      <c r="G21" s="470"/>
      <c r="H21" s="470"/>
      <c r="I21" s="470"/>
      <c r="J21" s="470"/>
      <c r="K21" s="470"/>
      <c r="L21" s="470"/>
      <c r="M21" s="470"/>
      <c r="N21" s="470"/>
      <c r="O21" s="470"/>
    </row>
    <row r="22" spans="2:15">
      <c r="B22" s="224" t="s">
        <v>59</v>
      </c>
      <c r="C22" s="383"/>
      <c r="D22" s="383"/>
      <c r="E22" s="360"/>
      <c r="F22" s="461">
        <f>CHOOSE(DCF!$D$4,F23,F24,F25,#REF!,#REF!)</f>
        <v>0.13566666666666669</v>
      </c>
      <c r="G22" s="461">
        <f>CHOOSE(DCF!$D$4,G23,G24,G25,#REF!,#REF!)</f>
        <v>0.13566666666666669</v>
      </c>
      <c r="H22" s="461">
        <f>CHOOSE(DCF!$D$4,H23,H24,H25,#REF!,#REF!)</f>
        <v>0.13566666666666669</v>
      </c>
      <c r="I22" s="461">
        <f>CHOOSE(DCF!$D$4,I23,I24,I25,#REF!,#REF!)</f>
        <v>0.13566666666666669</v>
      </c>
      <c r="J22" s="461">
        <f>CHOOSE(DCF!$D$4,J23,J24,J25,#REF!,#REF!)</f>
        <v>0.13566666666666669</v>
      </c>
      <c r="K22" s="461">
        <f>CHOOSE(DCF!$D$4,K23,K24,K25,#REF!,#REF!)</f>
        <v>0.13566666666666669</v>
      </c>
      <c r="L22" s="461">
        <f>CHOOSE(DCF!$D$4,L23,L24,L25,#REF!,#REF!)</f>
        <v>0.13566666666666669</v>
      </c>
      <c r="M22" s="461">
        <f>CHOOSE(DCF!$D$4,M23,M24,M25,#REF!,#REF!)</f>
        <v>0.13566666666666669</v>
      </c>
      <c r="N22" s="461">
        <f>CHOOSE(DCF!$D$4,N23,N24,N25,#REF!,#REF!)</f>
        <v>0.13566666666666669</v>
      </c>
      <c r="O22" s="461">
        <f>CHOOSE(DCF!$D$4,O23,O24,O25,#REF!,#REF!)</f>
        <v>0.13566666666666669</v>
      </c>
    </row>
    <row r="23" spans="2:15">
      <c r="B23" s="224" t="s">
        <v>186</v>
      </c>
      <c r="C23" s="383"/>
      <c r="D23" s="383"/>
      <c r="E23" s="360">
        <v>1</v>
      </c>
      <c r="F23" s="462">
        <f>'Assumptions 1 Documentation'!$BE$11</f>
        <v>0.13566666666666669</v>
      </c>
      <c r="G23" s="463">
        <f>'Assumptions 1 Documentation'!$BE$11</f>
        <v>0.13566666666666669</v>
      </c>
      <c r="H23" s="463">
        <f>'Assumptions 1 Documentation'!$BE$11</f>
        <v>0.13566666666666669</v>
      </c>
      <c r="I23" s="463">
        <f>'Assumptions 1 Documentation'!$BE$11</f>
        <v>0.13566666666666669</v>
      </c>
      <c r="J23" s="463">
        <f>'Assumptions 1 Documentation'!$BE$11</f>
        <v>0.13566666666666669</v>
      </c>
      <c r="K23" s="464">
        <f>'Assumptions 1 Documentation'!$BE$11</f>
        <v>0.13566666666666669</v>
      </c>
      <c r="L23" s="464">
        <f>'Assumptions 1 Documentation'!$BE$11</f>
        <v>0.13566666666666669</v>
      </c>
      <c r="M23" s="464">
        <f>'Assumptions 1 Documentation'!$BE$11</f>
        <v>0.13566666666666669</v>
      </c>
      <c r="N23" s="464">
        <f>'Assumptions 1 Documentation'!$BE$11</f>
        <v>0.13566666666666669</v>
      </c>
      <c r="O23" s="465">
        <f>'Assumptions 1 Documentation'!$BE$11</f>
        <v>0.13566666666666669</v>
      </c>
    </row>
    <row r="24" spans="2:15">
      <c r="B24" s="224" t="s">
        <v>187</v>
      </c>
      <c r="C24" s="383"/>
      <c r="D24" s="383"/>
      <c r="E24" s="360">
        <v>2</v>
      </c>
      <c r="F24" s="466">
        <f>'Assumptions 1 Documentation'!$BE$18</f>
        <v>0.13900000000000001</v>
      </c>
      <c r="G24" s="467">
        <f>'Assumptions 1 Documentation'!$BE$18</f>
        <v>0.13900000000000001</v>
      </c>
      <c r="H24" s="467">
        <f>'Assumptions 1 Documentation'!$BE$18</f>
        <v>0.13900000000000001</v>
      </c>
      <c r="I24" s="467">
        <f>'Assumptions 1 Documentation'!$BE$18</f>
        <v>0.13900000000000001</v>
      </c>
      <c r="J24" s="467">
        <f>'Assumptions 1 Documentation'!$BE$18</f>
        <v>0.13900000000000001</v>
      </c>
      <c r="K24" s="468">
        <f>'Assumptions 1 Documentation'!$BE$18</f>
        <v>0.13900000000000001</v>
      </c>
      <c r="L24" s="468">
        <f>'Assumptions 1 Documentation'!$BE$18</f>
        <v>0.13900000000000001</v>
      </c>
      <c r="M24" s="468">
        <f>'Assumptions 1 Documentation'!$BE$18</f>
        <v>0.13900000000000001</v>
      </c>
      <c r="N24" s="468">
        <f>'Assumptions 1 Documentation'!$BE$18</f>
        <v>0.13900000000000001</v>
      </c>
      <c r="O24" s="469">
        <f>'Assumptions 1 Documentation'!$BE$18</f>
        <v>0.13900000000000001</v>
      </c>
    </row>
    <row r="25" spans="2:15">
      <c r="B25" s="224" t="s">
        <v>188</v>
      </c>
      <c r="C25" s="383"/>
      <c r="D25" s="383"/>
      <c r="E25" s="360">
        <v>3</v>
      </c>
      <c r="F25" s="466">
        <f>'Assumptions 1 Documentation'!$BE$23</f>
        <v>0.13</v>
      </c>
      <c r="G25" s="467">
        <f>'Assumptions 1 Documentation'!$BE$23</f>
        <v>0.13</v>
      </c>
      <c r="H25" s="467">
        <f>'Assumptions 1 Documentation'!$BE$23</f>
        <v>0.13</v>
      </c>
      <c r="I25" s="467">
        <f>'Assumptions 1 Documentation'!$BE$23</f>
        <v>0.13</v>
      </c>
      <c r="J25" s="467">
        <f>'Assumptions 1 Documentation'!$BE$23</f>
        <v>0.13</v>
      </c>
      <c r="K25" s="468">
        <f>'Assumptions 1 Documentation'!$BE$23</f>
        <v>0.13</v>
      </c>
      <c r="L25" s="468">
        <f>'Assumptions 1 Documentation'!$BE$23</f>
        <v>0.13</v>
      </c>
      <c r="M25" s="468">
        <f>'Assumptions 1 Documentation'!$BE$23</f>
        <v>0.13</v>
      </c>
      <c r="N25" s="468">
        <f>'Assumptions 1 Documentation'!$BE$23</f>
        <v>0.13</v>
      </c>
      <c r="O25" s="469">
        <f>'Assumptions 1 Documentation'!$BE$23</f>
        <v>0.13</v>
      </c>
    </row>
    <row r="26" spans="2:15" s="87" customFormat="1">
      <c r="B26" s="224"/>
      <c r="C26" s="362"/>
      <c r="D26" s="362"/>
      <c r="E26" s="388"/>
      <c r="F26" s="479"/>
      <c r="G26" s="479"/>
      <c r="H26" s="479"/>
      <c r="I26" s="479"/>
      <c r="J26" s="479"/>
      <c r="K26" s="479"/>
      <c r="L26" s="479"/>
      <c r="M26" s="479"/>
      <c r="N26" s="479"/>
      <c r="O26" s="479"/>
    </row>
    <row r="27" spans="2:15" ht="13">
      <c r="B27" s="76" t="s">
        <v>190</v>
      </c>
      <c r="C27" s="383"/>
      <c r="D27" s="383"/>
      <c r="E27" s="360"/>
      <c r="F27" s="480"/>
      <c r="G27" s="480"/>
      <c r="H27" s="480"/>
      <c r="I27" s="480"/>
      <c r="J27" s="480"/>
      <c r="K27" s="480"/>
      <c r="L27" s="480"/>
      <c r="M27" s="480"/>
      <c r="N27" s="480"/>
      <c r="O27" s="480"/>
    </row>
    <row r="28" spans="2:15">
      <c r="B28" s="390" t="s">
        <v>191</v>
      </c>
      <c r="C28" s="383"/>
      <c r="D28" s="383"/>
      <c r="E28" s="360"/>
      <c r="F28" s="461">
        <f>CHOOSE(DCF!$D$4,F29,F30,F31,#REF!,#REF!)</f>
        <v>0.11735788963511734</v>
      </c>
      <c r="G28" s="461">
        <f>CHOOSE(DCF!$D$4,G29,G30,G31,#REF!,#REF!)</f>
        <v>0.11068897546586409</v>
      </c>
      <c r="H28" s="461">
        <f>CHOOSE(DCF!$D$4,H29,H30,H31,#REF!,#REF!)</f>
        <v>0.10477228992092917</v>
      </c>
      <c r="I28" s="461">
        <f>CHOOSE(DCF!$D$4,I29,I30,I31,#REF!,#REF!)</f>
        <v>9.926016642080536E-2</v>
      </c>
      <c r="J28" s="461">
        <f>CHOOSE(DCF!$D$4,J29,J30,J31,#REF!,#REF!)</f>
        <v>9.395429434974395E-2</v>
      </c>
      <c r="K28" s="461">
        <f>CHOOSE(DCF!$D$4,K29,K30,K31,#REF!,#REF!)</f>
        <v>9.395429434974395E-2</v>
      </c>
      <c r="L28" s="461">
        <f>CHOOSE(DCF!$D$4,L29,L30,L31,#REF!,#REF!)</f>
        <v>9.395429434974395E-2</v>
      </c>
      <c r="M28" s="461">
        <f>CHOOSE(DCF!$D$4,M29,M30,M31,#REF!,#REF!)</f>
        <v>9.395429434974395E-2</v>
      </c>
      <c r="N28" s="461">
        <f>CHOOSE(DCF!$D$4,N29,N30,N31,#REF!,#REF!)</f>
        <v>9.395429434974395E-2</v>
      </c>
      <c r="O28" s="461">
        <f>CHOOSE(DCF!$D$4,O29,O30,O31,#REF!,#REF!)</f>
        <v>9.395429434974395E-2</v>
      </c>
    </row>
    <row r="29" spans="2:15">
      <c r="B29" s="224" t="s">
        <v>186</v>
      </c>
      <c r="C29" s="383"/>
      <c r="D29" s="383"/>
      <c r="E29" s="360">
        <v>1</v>
      </c>
      <c r="F29" s="462">
        <f>'Assumptions 1 Documentation'!CH41</f>
        <v>0.11735788963511734</v>
      </c>
      <c r="G29" s="463">
        <f>'Assumptions 1 Documentation'!CH42</f>
        <v>0.11068897546586409</v>
      </c>
      <c r="H29" s="463">
        <f>'Assumptions 1 Documentation'!CH43</f>
        <v>0.10477228992092917</v>
      </c>
      <c r="I29" s="463">
        <f>'Assumptions 1 Documentation'!CH44</f>
        <v>9.926016642080536E-2</v>
      </c>
      <c r="J29" s="463">
        <f>'Assumptions 1 Documentation'!CH45</f>
        <v>9.395429434974395E-2</v>
      </c>
      <c r="K29" s="464">
        <f>J29</f>
        <v>9.395429434974395E-2</v>
      </c>
      <c r="L29" s="464">
        <f t="shared" ref="L29:O29" si="2">K29</f>
        <v>9.395429434974395E-2</v>
      </c>
      <c r="M29" s="464">
        <f t="shared" si="2"/>
        <v>9.395429434974395E-2</v>
      </c>
      <c r="N29" s="464">
        <f t="shared" si="2"/>
        <v>9.395429434974395E-2</v>
      </c>
      <c r="O29" s="465">
        <f t="shared" si="2"/>
        <v>9.395429434974395E-2</v>
      </c>
    </row>
    <row r="30" spans="2:15">
      <c r="B30" s="224" t="s">
        <v>187</v>
      </c>
      <c r="C30" s="383"/>
      <c r="D30" s="383"/>
      <c r="E30" s="360">
        <v>2</v>
      </c>
      <c r="F30" s="466">
        <f>'Assumptions 1 Documentation'!CH55</f>
        <v>0.13755657371738553</v>
      </c>
      <c r="G30" s="467">
        <f>'Assumptions 1 Documentation'!CH56</f>
        <v>0.12810903098565507</v>
      </c>
      <c r="H30" s="467">
        <f>'Assumptions 1 Documentation'!CH57</f>
        <v>0.11973154979390006</v>
      </c>
      <c r="I30" s="467">
        <f>'Assumptions 1 Documentation'!CH58</f>
        <v>0.11200492890030303</v>
      </c>
      <c r="J30" s="467">
        <f>'Assumptions 1 Documentation'!CH59</f>
        <v>0.10463675467099298</v>
      </c>
      <c r="K30" s="468">
        <f t="shared" ref="K30:O30" si="3">J30</f>
        <v>0.10463675467099298</v>
      </c>
      <c r="L30" s="468">
        <f t="shared" si="3"/>
        <v>0.10463675467099298</v>
      </c>
      <c r="M30" s="468">
        <f t="shared" si="3"/>
        <v>0.10463675467099298</v>
      </c>
      <c r="N30" s="468">
        <f t="shared" si="3"/>
        <v>0.10463675467099298</v>
      </c>
      <c r="O30" s="469">
        <f t="shared" si="3"/>
        <v>0.10463675467099298</v>
      </c>
    </row>
    <row r="31" spans="2:15">
      <c r="B31" s="224" t="s">
        <v>188</v>
      </c>
      <c r="C31" s="383"/>
      <c r="D31" s="383"/>
      <c r="E31" s="360">
        <v>3</v>
      </c>
      <c r="F31" s="481">
        <f>'Assumptions 1 Documentation'!CH69</f>
        <v>9.7377018308548072E-2</v>
      </c>
      <c r="G31" s="482">
        <f>'Assumptions 1 Documentation'!CH70</f>
        <v>9.3739144896453019E-2</v>
      </c>
      <c r="H31" s="482">
        <f>'Assumptions 1 Documentation'!CH71</f>
        <v>9.0628604910965152E-2</v>
      </c>
      <c r="I31" s="482">
        <f>'Assumptions 1 Documentation'!CH72</f>
        <v>8.7753978896390319E-2</v>
      </c>
      <c r="J31" s="482">
        <f>'Assumptions 1 Documentation'!CH73</f>
        <v>8.493913256911953E-2</v>
      </c>
      <c r="K31" s="483">
        <f t="shared" ref="K31:O31" si="4">J31</f>
        <v>8.493913256911953E-2</v>
      </c>
      <c r="L31" s="483">
        <f t="shared" si="4"/>
        <v>8.493913256911953E-2</v>
      </c>
      <c r="M31" s="483">
        <f t="shared" si="4"/>
        <v>8.493913256911953E-2</v>
      </c>
      <c r="N31" s="483">
        <f t="shared" si="4"/>
        <v>8.493913256911953E-2</v>
      </c>
      <c r="O31" s="484">
        <f t="shared" si="4"/>
        <v>8.493913256911953E-2</v>
      </c>
    </row>
  </sheetData>
  <phoneticPr fontId="3" type="noConversion"/>
  <pageMargins left="0.75" right="0.75" top="1" bottom="1" header="0.5" footer="0.5"/>
  <pageSetup orientation="portrait" r:id="rId1"/>
  <headerFooter alignWithMargins="0"/>
  <ignoredErrors>
    <ignoredError sqref="P4"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E751A-4145-428C-9602-E7FDCF1E913F}">
  <sheetPr>
    <tabColor theme="4" tint="0.79998168889431442"/>
  </sheetPr>
  <dimension ref="B1:CP108"/>
  <sheetViews>
    <sheetView showGridLines="0" topLeftCell="BJ9" zoomScale="80" zoomScaleNormal="80" workbookViewId="0">
      <selection activeCell="BZ15" sqref="BZ15"/>
    </sheetView>
  </sheetViews>
  <sheetFormatPr defaultColWidth="8.81640625" defaultRowHeight="12.5"/>
  <cols>
    <col min="1" max="1" width="0.81640625" customWidth="1"/>
    <col min="2" max="2" width="16.7265625" customWidth="1"/>
    <col min="3" max="3" width="8.54296875" customWidth="1"/>
    <col min="4" max="4" width="8.453125" customWidth="1"/>
    <col min="5" max="5" width="7.453125" customWidth="1"/>
    <col min="21" max="21" width="12.81640625" customWidth="1"/>
    <col min="22" max="22" width="7.453125" bestFit="1" customWidth="1"/>
    <col min="23" max="23" width="7.1796875" customWidth="1"/>
    <col min="24" max="24" width="9.453125" customWidth="1"/>
    <col min="25" max="25" width="11.453125" bestFit="1" customWidth="1"/>
    <col min="37" max="37" width="13.1796875" customWidth="1"/>
    <col min="38" max="40" width="8.453125" customWidth="1"/>
    <col min="56" max="56" width="11.453125" customWidth="1"/>
    <col min="78" max="78" width="13.1796875" customWidth="1"/>
    <col min="79" max="79" width="12.7265625" customWidth="1"/>
    <col min="80" max="80" width="15.1796875" customWidth="1"/>
    <col min="81" max="81" width="12.26953125" customWidth="1"/>
    <col min="82" max="82" width="10.81640625" customWidth="1"/>
    <col min="83" max="83" width="9.1796875" customWidth="1"/>
    <col min="84" max="84" width="10.1796875" bestFit="1" customWidth="1"/>
    <col min="85" max="85" width="11.453125" bestFit="1" customWidth="1"/>
  </cols>
  <sheetData>
    <row r="1" spans="2:94" ht="16" thickBot="1">
      <c r="B1" s="225" t="str">
        <f>Cover!G6</f>
        <v>Planet Fitness, Inc.</v>
      </c>
      <c r="C1" s="226"/>
      <c r="D1" s="226"/>
      <c r="E1" s="226"/>
      <c r="F1" s="226"/>
      <c r="G1" s="226"/>
      <c r="H1" s="226"/>
      <c r="I1" s="226"/>
      <c r="J1" s="226"/>
      <c r="K1" s="226"/>
      <c r="L1" s="226"/>
      <c r="M1" s="226"/>
      <c r="N1" s="226"/>
      <c r="O1" s="226"/>
      <c r="P1" s="226"/>
      <c r="Q1" s="227"/>
      <c r="R1" s="228"/>
      <c r="S1" s="228"/>
      <c r="T1" s="228"/>
      <c r="U1" s="228"/>
      <c r="V1" s="228"/>
      <c r="W1" s="228"/>
      <c r="X1" s="228"/>
      <c r="Y1" s="228"/>
      <c r="Z1" s="228"/>
      <c r="AA1" s="228"/>
      <c r="AB1" s="228"/>
      <c r="AC1" s="228"/>
      <c r="AD1" s="228"/>
      <c r="AE1" s="228"/>
      <c r="AF1" s="228"/>
      <c r="AG1" s="228"/>
      <c r="AH1" s="228"/>
      <c r="AI1" s="228"/>
      <c r="AJ1" s="228"/>
      <c r="AK1" s="228"/>
      <c r="AL1" s="228"/>
      <c r="AM1" s="228"/>
      <c r="AN1" s="228"/>
      <c r="AO1" s="228"/>
      <c r="AP1" s="228"/>
      <c r="AQ1" s="228"/>
      <c r="AR1" s="228"/>
      <c r="AS1" s="228"/>
      <c r="AT1" s="228"/>
      <c r="AU1" s="228"/>
      <c r="AV1" s="228"/>
      <c r="AW1" s="228"/>
      <c r="AX1" s="228"/>
      <c r="AY1" s="228"/>
      <c r="AZ1" s="228"/>
      <c r="BA1" s="228"/>
      <c r="BB1" s="228"/>
      <c r="BC1" s="228"/>
      <c r="BD1" s="228"/>
      <c r="BE1" s="228"/>
      <c r="BF1" s="228"/>
      <c r="BG1" s="228"/>
      <c r="BH1" s="228"/>
      <c r="BI1" s="228"/>
      <c r="BJ1" s="228"/>
      <c r="BK1" s="228"/>
      <c r="BL1" s="228"/>
      <c r="BM1" s="228"/>
      <c r="BN1" s="228"/>
      <c r="BO1" s="228"/>
      <c r="BP1" s="228"/>
      <c r="BQ1" s="228"/>
      <c r="BR1" s="228"/>
      <c r="BS1" s="228"/>
      <c r="BT1" s="228"/>
      <c r="BU1" s="228"/>
      <c r="BV1" s="228"/>
      <c r="BW1" s="228"/>
      <c r="BX1" s="228"/>
      <c r="BY1" s="228"/>
      <c r="BZ1" s="228"/>
      <c r="CA1" s="228"/>
      <c r="CB1" s="228"/>
      <c r="CC1" s="228"/>
      <c r="CD1" s="228"/>
      <c r="CE1" s="228"/>
      <c r="CF1" s="228"/>
      <c r="CG1" s="228"/>
      <c r="CH1" s="228"/>
      <c r="CI1" s="228"/>
      <c r="CJ1" s="228"/>
      <c r="CK1" s="228"/>
      <c r="CL1" s="228"/>
      <c r="CM1" s="228"/>
      <c r="CN1" s="228"/>
      <c r="CO1" s="228"/>
      <c r="CP1" s="228"/>
    </row>
    <row r="3" spans="2:94" ht="13">
      <c r="B3" s="229" t="s">
        <v>193</v>
      </c>
      <c r="E3" s="230" t="s">
        <v>194</v>
      </c>
      <c r="U3" s="229" t="s">
        <v>195</v>
      </c>
      <c r="W3" s="230" t="s">
        <v>194</v>
      </c>
      <c r="AK3" s="229" t="s">
        <v>196</v>
      </c>
      <c r="AO3" s="230" t="s">
        <v>194</v>
      </c>
      <c r="BD3" s="229" t="s">
        <v>197</v>
      </c>
      <c r="BH3" s="230" t="s">
        <v>194</v>
      </c>
      <c r="BZ3" s="229" t="s">
        <v>198</v>
      </c>
      <c r="CE3" s="230" t="s">
        <v>194</v>
      </c>
    </row>
    <row r="4" spans="2:94">
      <c r="C4">
        <v>2022</v>
      </c>
      <c r="D4">
        <v>2023</v>
      </c>
      <c r="E4">
        <v>2024</v>
      </c>
      <c r="F4" s="230" t="s">
        <v>199</v>
      </c>
      <c r="V4">
        <v>2022</v>
      </c>
      <c r="W4">
        <v>2023</v>
      </c>
      <c r="X4">
        <v>2024</v>
      </c>
      <c r="Y4" s="230" t="s">
        <v>199</v>
      </c>
      <c r="AL4">
        <v>2022</v>
      </c>
      <c r="AM4">
        <v>2023</v>
      </c>
      <c r="AN4">
        <v>2024</v>
      </c>
      <c r="AO4" s="230" t="s">
        <v>199</v>
      </c>
      <c r="BE4">
        <v>2022</v>
      </c>
      <c r="BF4">
        <v>2023</v>
      </c>
      <c r="BG4">
        <v>2024</v>
      </c>
      <c r="BH4" s="230" t="s">
        <v>199</v>
      </c>
      <c r="CA4">
        <v>2022</v>
      </c>
      <c r="CB4">
        <v>2023</v>
      </c>
      <c r="CC4">
        <v>2024</v>
      </c>
      <c r="CD4" s="230" t="s">
        <v>199</v>
      </c>
    </row>
    <row r="5" spans="2:94">
      <c r="B5" s="230" t="s">
        <v>56</v>
      </c>
      <c r="C5" s="306">
        <v>0.59580118666559923</v>
      </c>
      <c r="D5" s="306">
        <v>0.14363580465684289</v>
      </c>
      <c r="E5" s="306">
        <v>0.10298265887320945</v>
      </c>
      <c r="F5" s="230" t="s">
        <v>200</v>
      </c>
      <c r="U5" s="230" t="s">
        <v>201</v>
      </c>
      <c r="V5" s="306">
        <v>0.30499999999999999</v>
      </c>
      <c r="W5" s="306">
        <v>0.30199999999999999</v>
      </c>
      <c r="X5" s="306">
        <v>0.313</v>
      </c>
      <c r="Y5" t="s">
        <v>389</v>
      </c>
      <c r="AK5" t="s">
        <v>202</v>
      </c>
      <c r="AL5" s="306">
        <v>0.123</v>
      </c>
      <c r="AM5" s="306">
        <v>0.11700000000000001</v>
      </c>
      <c r="AN5" s="306">
        <v>0.109</v>
      </c>
      <c r="AO5" s="230" t="s">
        <v>203</v>
      </c>
      <c r="BD5" s="230" t="s">
        <v>204</v>
      </c>
      <c r="BE5" s="306">
        <v>0.13200000000000001</v>
      </c>
      <c r="BF5" s="306">
        <v>0.13900000000000001</v>
      </c>
      <c r="BG5" s="306">
        <v>0.13600000000000001</v>
      </c>
      <c r="BH5" s="230" t="s">
        <v>205</v>
      </c>
      <c r="BZ5" t="s">
        <v>206</v>
      </c>
      <c r="CA5" s="306">
        <v>0.10681040850922102</v>
      </c>
      <c r="CB5" s="306">
        <v>0.12693241833018148</v>
      </c>
      <c r="CC5" s="421">
        <v>0.131223691537455</v>
      </c>
      <c r="CD5" s="230" t="s">
        <v>207</v>
      </c>
    </row>
    <row r="6" spans="2:94">
      <c r="CC6" s="231" t="s">
        <v>208</v>
      </c>
      <c r="CD6" s="231"/>
      <c r="CE6" s="231"/>
      <c r="CF6" s="231"/>
      <c r="CG6" s="231"/>
      <c r="CH6" s="231"/>
      <c r="CI6" s="231"/>
    </row>
    <row r="7" spans="2:94" ht="13">
      <c r="B7" s="229" t="s">
        <v>209</v>
      </c>
      <c r="U7" s="229" t="s">
        <v>209</v>
      </c>
      <c r="AK7" s="229" t="s">
        <v>209</v>
      </c>
      <c r="BD7" s="229" t="s">
        <v>209</v>
      </c>
      <c r="BZ7" s="229"/>
    </row>
    <row r="8" spans="2:94">
      <c r="B8" t="s">
        <v>210</v>
      </c>
      <c r="U8" s="230" t="s">
        <v>385</v>
      </c>
      <c r="AK8" s="230" t="s">
        <v>211</v>
      </c>
      <c r="BD8" s="230" t="s">
        <v>212</v>
      </c>
      <c r="BZ8" t="s">
        <v>213</v>
      </c>
    </row>
    <row r="9" spans="2:94">
      <c r="B9" s="232" t="s">
        <v>214</v>
      </c>
      <c r="U9" s="230" t="s">
        <v>215</v>
      </c>
      <c r="AK9" s="230" t="s">
        <v>216</v>
      </c>
      <c r="BD9" s="230" t="s">
        <v>217</v>
      </c>
      <c r="BZ9" t="s">
        <v>218</v>
      </c>
    </row>
    <row r="10" spans="2:94">
      <c r="B10" s="230" t="s">
        <v>219</v>
      </c>
      <c r="U10" s="230" t="s">
        <v>386</v>
      </c>
      <c r="AK10" s="230" t="s">
        <v>220</v>
      </c>
      <c r="BD10" s="230"/>
      <c r="BZ10" t="s">
        <v>221</v>
      </c>
    </row>
    <row r="11" spans="2:94">
      <c r="B11" t="s">
        <v>222</v>
      </c>
      <c r="AK11" s="230" t="s">
        <v>223</v>
      </c>
      <c r="BD11" s="230" t="s">
        <v>224</v>
      </c>
      <c r="BE11" s="306">
        <f>AVERAGE(BE5:BG5)</f>
        <v>0.13566666666666669</v>
      </c>
      <c r="BF11" t="s">
        <v>225</v>
      </c>
      <c r="BZ11" t="s">
        <v>226</v>
      </c>
    </row>
    <row r="12" spans="2:94">
      <c r="U12" s="230" t="s">
        <v>224</v>
      </c>
      <c r="V12" s="306">
        <v>0.315</v>
      </c>
    </row>
    <row r="13" spans="2:94" ht="13">
      <c r="B13" s="233" t="s">
        <v>227</v>
      </c>
      <c r="C13" s="234" t="s">
        <v>228</v>
      </c>
      <c r="AK13" s="230" t="s">
        <v>224</v>
      </c>
      <c r="AL13" s="306">
        <v>0.1</v>
      </c>
      <c r="BD13" s="229" t="s">
        <v>229</v>
      </c>
      <c r="BZ13" t="s">
        <v>230</v>
      </c>
    </row>
    <row r="14" spans="2:94" ht="13">
      <c r="B14">
        <v>2025</v>
      </c>
      <c r="C14" s="306">
        <v>0.1</v>
      </c>
      <c r="U14" s="229" t="s">
        <v>229</v>
      </c>
      <c r="BD14" s="230" t="s">
        <v>231</v>
      </c>
      <c r="BZ14" s="230" t="s">
        <v>410</v>
      </c>
      <c r="CA14" s="235">
        <v>2022</v>
      </c>
      <c r="CB14" s="235">
        <v>2023</v>
      </c>
      <c r="CC14" s="235">
        <v>2024</v>
      </c>
      <c r="CD14" s="235"/>
    </row>
    <row r="15" spans="2:94" ht="13">
      <c r="B15">
        <v>2026</v>
      </c>
      <c r="C15" s="306">
        <v>9.5000000000000001E-2</v>
      </c>
      <c r="D15" t="s">
        <v>232</v>
      </c>
      <c r="U15" s="230" t="s">
        <v>233</v>
      </c>
      <c r="AK15" s="229" t="s">
        <v>229</v>
      </c>
      <c r="BD15" s="230" t="s">
        <v>234</v>
      </c>
      <c r="BZ15" t="s">
        <v>235</v>
      </c>
      <c r="CA15" s="235" t="s">
        <v>236</v>
      </c>
      <c r="CB15" s="235" t="s">
        <v>237</v>
      </c>
      <c r="CC15" s="235" t="s">
        <v>238</v>
      </c>
      <c r="CD15" s="235"/>
    </row>
    <row r="16" spans="2:94">
      <c r="B16">
        <v>2027</v>
      </c>
      <c r="C16" s="306">
        <v>0.09</v>
      </c>
      <c r="D16" t="s">
        <v>239</v>
      </c>
      <c r="U16" s="230" t="s">
        <v>387</v>
      </c>
      <c r="AK16" s="230" t="s">
        <v>240</v>
      </c>
      <c r="BD16" s="230" t="s">
        <v>241</v>
      </c>
      <c r="BZ16" t="s">
        <v>242</v>
      </c>
      <c r="CA16" s="235" t="s">
        <v>243</v>
      </c>
      <c r="CB16" s="235" t="s">
        <v>244</v>
      </c>
      <c r="CC16" s="235" t="s">
        <v>245</v>
      </c>
      <c r="CD16" s="235"/>
    </row>
    <row r="17" spans="2:82">
      <c r="B17" s="233" t="s">
        <v>246</v>
      </c>
      <c r="C17" s="306">
        <v>8.7999999999999995E-2</v>
      </c>
      <c r="D17" t="s">
        <v>247</v>
      </c>
      <c r="U17" s="230"/>
      <c r="AK17" s="230" t="s">
        <v>248</v>
      </c>
      <c r="BZ17" t="s">
        <v>249</v>
      </c>
      <c r="CA17" s="235" t="s">
        <v>250</v>
      </c>
      <c r="CB17" s="235" t="s">
        <v>251</v>
      </c>
      <c r="CC17" s="235" t="s">
        <v>252</v>
      </c>
      <c r="CD17" s="235"/>
    </row>
    <row r="18" spans="2:82">
      <c r="U18" s="230" t="s">
        <v>224</v>
      </c>
      <c r="V18" s="306">
        <v>0.30499999999999999</v>
      </c>
      <c r="AK18" s="230"/>
      <c r="BD18" s="230" t="s">
        <v>224</v>
      </c>
      <c r="BE18" s="306">
        <f>BF5</f>
        <v>0.13900000000000001</v>
      </c>
      <c r="BF18" s="230" t="s">
        <v>253</v>
      </c>
      <c r="BZ18" t="s">
        <v>254</v>
      </c>
      <c r="CA18" s="235" t="s">
        <v>255</v>
      </c>
      <c r="CB18" s="235" t="s">
        <v>255</v>
      </c>
      <c r="CC18" s="235" t="s">
        <v>256</v>
      </c>
      <c r="CD18" s="235"/>
    </row>
    <row r="19" spans="2:82" ht="13">
      <c r="B19" s="229" t="s">
        <v>257</v>
      </c>
      <c r="AK19" s="230" t="s">
        <v>224</v>
      </c>
      <c r="AL19" s="306">
        <v>9.5000000000000001E-2</v>
      </c>
      <c r="BZ19" t="s">
        <v>258</v>
      </c>
      <c r="CA19" s="235" t="s">
        <v>259</v>
      </c>
      <c r="CB19" s="235" t="s">
        <v>260</v>
      </c>
      <c r="CC19" s="235" t="s">
        <v>261</v>
      </c>
      <c r="CD19" s="235"/>
    </row>
    <row r="20" spans="2:82" ht="13" customHeight="1">
      <c r="B20" s="563" t="s">
        <v>262</v>
      </c>
      <c r="C20" s="563"/>
      <c r="D20" s="563"/>
      <c r="E20" s="563"/>
      <c r="F20" s="563"/>
      <c r="G20" s="563"/>
      <c r="H20" s="563"/>
      <c r="I20" s="563"/>
      <c r="J20" s="563"/>
      <c r="K20" s="563"/>
      <c r="L20" s="563"/>
      <c r="M20" s="563"/>
      <c r="N20" s="563"/>
      <c r="O20" s="563"/>
      <c r="P20" s="563"/>
      <c r="Q20" s="563"/>
      <c r="R20" s="563"/>
      <c r="S20" s="563"/>
      <c r="U20" s="229" t="s">
        <v>263</v>
      </c>
      <c r="BD20" s="229" t="s">
        <v>263</v>
      </c>
    </row>
    <row r="21" spans="2:82" ht="13">
      <c r="B21" s="563"/>
      <c r="C21" s="563"/>
      <c r="D21" s="563"/>
      <c r="E21" s="563"/>
      <c r="F21" s="563"/>
      <c r="G21" s="563"/>
      <c r="H21" s="563"/>
      <c r="I21" s="563"/>
      <c r="J21" s="563"/>
      <c r="K21" s="563"/>
      <c r="L21" s="563"/>
      <c r="M21" s="563"/>
      <c r="N21" s="563"/>
      <c r="O21" s="563"/>
      <c r="P21" s="563"/>
      <c r="Q21" s="563"/>
      <c r="R21" s="563"/>
      <c r="S21" s="563"/>
      <c r="U21" s="230" t="s">
        <v>388</v>
      </c>
      <c r="AK21" s="229" t="s">
        <v>263</v>
      </c>
      <c r="BD21" s="230" t="s">
        <v>264</v>
      </c>
      <c r="BZ21" s="235" t="s">
        <v>265</v>
      </c>
      <c r="CA21" s="562">
        <v>0.107</v>
      </c>
      <c r="CB21" s="562">
        <v>0.127</v>
      </c>
      <c r="CC21" s="562">
        <v>0.13100000000000001</v>
      </c>
      <c r="CD21" s="235" t="s">
        <v>266</v>
      </c>
    </row>
    <row r="22" spans="2:82">
      <c r="B22" t="s">
        <v>267</v>
      </c>
      <c r="U22" s="230"/>
      <c r="AK22" s="230" t="s">
        <v>268</v>
      </c>
      <c r="BD22" s="230"/>
    </row>
    <row r="23" spans="2:82">
      <c r="B23" t="s">
        <v>269</v>
      </c>
      <c r="U23" s="230" t="s">
        <v>224</v>
      </c>
      <c r="V23" s="306">
        <v>0.32500000000000001</v>
      </c>
      <c r="AK23" s="230" t="s">
        <v>270</v>
      </c>
      <c r="BD23" s="230" t="s">
        <v>224</v>
      </c>
      <c r="BE23" s="306">
        <v>0.13</v>
      </c>
      <c r="BZ23" t="s">
        <v>271</v>
      </c>
      <c r="CB23" t="s">
        <v>272</v>
      </c>
    </row>
    <row r="24" spans="2:82">
      <c r="AK24" s="230" t="s">
        <v>273</v>
      </c>
      <c r="BZ24" s="235">
        <v>2022</v>
      </c>
      <c r="CA24" s="235" t="s">
        <v>274</v>
      </c>
      <c r="CB24" s="236">
        <f>40.8/14</f>
        <v>2.9142857142857141</v>
      </c>
      <c r="CC24" t="s">
        <v>275</v>
      </c>
    </row>
    <row r="25" spans="2:82">
      <c r="B25" s="233" t="s">
        <v>227</v>
      </c>
      <c r="C25" s="234" t="s">
        <v>228</v>
      </c>
      <c r="BZ25" s="235">
        <v>2023</v>
      </c>
      <c r="CA25" s="235" t="s">
        <v>276</v>
      </c>
      <c r="CB25" s="236">
        <f>52.6/18</f>
        <v>2.9222222222222225</v>
      </c>
      <c r="CC25" t="s">
        <v>275</v>
      </c>
    </row>
    <row r="26" spans="2:82">
      <c r="B26">
        <v>2025</v>
      </c>
      <c r="C26" s="306">
        <v>0.12303489774353041</v>
      </c>
      <c r="AK26" s="230" t="s">
        <v>224</v>
      </c>
      <c r="AL26" s="306">
        <v>0.11</v>
      </c>
      <c r="BZ26" s="235">
        <v>2024</v>
      </c>
      <c r="CA26" s="235" t="s">
        <v>277</v>
      </c>
      <c r="CB26" s="236">
        <f>65.4/21</f>
        <v>3.1142857142857148</v>
      </c>
      <c r="CC26" t="s">
        <v>275</v>
      </c>
    </row>
    <row r="27" spans="2:82">
      <c r="B27">
        <v>2026</v>
      </c>
      <c r="C27" s="306">
        <v>0.11786057664109809</v>
      </c>
    </row>
    <row r="28" spans="2:82">
      <c r="B28">
        <v>2027</v>
      </c>
      <c r="C28" s="306">
        <v>0.11219337113860908</v>
      </c>
      <c r="BZ28" t="s">
        <v>278</v>
      </c>
    </row>
    <row r="29" spans="2:82">
      <c r="B29" s="233" t="s">
        <v>246</v>
      </c>
      <c r="C29" s="306">
        <v>0.10956873004328452</v>
      </c>
      <c r="BZ29">
        <v>2022</v>
      </c>
      <c r="CA29" t="s">
        <v>243</v>
      </c>
    </row>
    <row r="30" spans="2:82">
      <c r="BZ30">
        <v>2023</v>
      </c>
      <c r="CA30" s="235" t="s">
        <v>279</v>
      </c>
      <c r="CB30" s="236">
        <f>59.6/234</f>
        <v>0.25470085470085468</v>
      </c>
      <c r="CC30" t="s">
        <v>275</v>
      </c>
    </row>
    <row r="31" spans="2:82" ht="13">
      <c r="B31" s="229" t="s">
        <v>280</v>
      </c>
      <c r="BZ31">
        <v>2024</v>
      </c>
      <c r="CA31" s="235" t="s">
        <v>281</v>
      </c>
      <c r="CB31" s="236">
        <f>66.4/256</f>
        <v>0.25937500000000002</v>
      </c>
      <c r="CC31" t="s">
        <v>275</v>
      </c>
    </row>
    <row r="32" spans="2:82">
      <c r="B32" s="230" t="s">
        <v>282</v>
      </c>
      <c r="K32" s="230" t="s">
        <v>283</v>
      </c>
    </row>
    <row r="33" spans="2:86" ht="13">
      <c r="B33" s="230" t="s">
        <v>284</v>
      </c>
      <c r="BZ33" s="229" t="s">
        <v>209</v>
      </c>
    </row>
    <row r="34" spans="2:86">
      <c r="B34" s="230" t="s">
        <v>285</v>
      </c>
      <c r="BZ34" t="s">
        <v>286</v>
      </c>
    </row>
    <row r="35" spans="2:86">
      <c r="B35" s="230" t="s">
        <v>287</v>
      </c>
      <c r="BZ35" t="s">
        <v>288</v>
      </c>
    </row>
    <row r="36" spans="2:86">
      <c r="BZ36" t="s">
        <v>289</v>
      </c>
    </row>
    <row r="37" spans="2:86">
      <c r="B37" s="233" t="s">
        <v>227</v>
      </c>
      <c r="C37" s="234" t="s">
        <v>228</v>
      </c>
      <c r="BZ37" t="s">
        <v>290</v>
      </c>
    </row>
    <row r="38" spans="2:86">
      <c r="B38">
        <v>2025</v>
      </c>
      <c r="C38" s="306">
        <f>C14-3.5%</f>
        <v>6.5000000000000002E-2</v>
      </c>
      <c r="D38" s="237" t="s">
        <v>291</v>
      </c>
    </row>
    <row r="39" spans="2:86">
      <c r="B39">
        <v>2026</v>
      </c>
      <c r="C39" s="306">
        <f t="shared" ref="C39:C41" si="0">C15-3.5%</f>
        <v>0.06</v>
      </c>
      <c r="BY39" s="234" t="s">
        <v>227</v>
      </c>
      <c r="BZ39" t="s">
        <v>292</v>
      </c>
      <c r="CA39" t="s">
        <v>235</v>
      </c>
      <c r="CB39" t="s">
        <v>293</v>
      </c>
      <c r="CC39" t="s">
        <v>242</v>
      </c>
      <c r="CD39" t="s">
        <v>249</v>
      </c>
      <c r="CE39" t="s">
        <v>254</v>
      </c>
      <c r="CF39" t="s">
        <v>294</v>
      </c>
      <c r="CG39" t="s">
        <v>295</v>
      </c>
      <c r="CH39" t="s">
        <v>296</v>
      </c>
    </row>
    <row r="40" spans="2:86">
      <c r="B40">
        <v>2027</v>
      </c>
      <c r="C40" s="306">
        <f t="shared" si="0"/>
        <v>5.4999999999999993E-2</v>
      </c>
      <c r="BY40">
        <v>2024</v>
      </c>
      <c r="BZ40" s="234">
        <v>21</v>
      </c>
      <c r="CA40" s="238">
        <v>65.400000000000006</v>
      </c>
      <c r="CB40" s="234">
        <v>256</v>
      </c>
      <c r="CC40" s="238">
        <v>66.400000000000006</v>
      </c>
      <c r="CD40" s="238">
        <v>22.2</v>
      </c>
      <c r="CE40" s="238">
        <v>1.1000000000000001</v>
      </c>
      <c r="CF40" s="239">
        <f>CA40+CC40+CD40+CE40</f>
        <v>155.1</v>
      </c>
      <c r="CG40" s="240">
        <v>1181.7</v>
      </c>
      <c r="CH40" s="241">
        <f t="shared" ref="CH40:CH45" si="1">CF40/CG40</f>
        <v>0.13125158669713125</v>
      </c>
    </row>
    <row r="41" spans="2:86">
      <c r="B41" s="233" t="s">
        <v>246</v>
      </c>
      <c r="C41" s="306">
        <f t="shared" si="0"/>
        <v>5.2999999999999992E-2</v>
      </c>
      <c r="BY41">
        <v>2025</v>
      </c>
      <c r="BZ41" s="234">
        <v>20</v>
      </c>
      <c r="CA41" s="238">
        <f>BZ41*3</f>
        <v>60</v>
      </c>
      <c r="CB41" s="234">
        <f>CB40+BZ40</f>
        <v>277</v>
      </c>
      <c r="CC41" s="238">
        <f>CB41*0.25</f>
        <v>69.25</v>
      </c>
      <c r="CD41" s="238">
        <v>22.2</v>
      </c>
      <c r="CE41" s="238">
        <v>1.1000000000000001</v>
      </c>
      <c r="CF41" s="239">
        <f t="shared" ref="CF41:CF45" si="2">CA41+CC41+CD41+CE41</f>
        <v>152.54999999999998</v>
      </c>
      <c r="CG41" s="236">
        <f>CG40*(1+C14)</f>
        <v>1299.8700000000001</v>
      </c>
      <c r="CH41" s="241">
        <f t="shared" si="1"/>
        <v>0.11735788963511734</v>
      </c>
    </row>
    <row r="42" spans="2:86">
      <c r="BY42">
        <v>2026</v>
      </c>
      <c r="BZ42" s="234">
        <v>20</v>
      </c>
      <c r="CA42" s="238">
        <f t="shared" ref="CA42:CA45" si="3">BZ42*3</f>
        <v>60</v>
      </c>
      <c r="CB42" s="234">
        <f>CB41+BZ41</f>
        <v>297</v>
      </c>
      <c r="CC42" s="238">
        <f t="shared" ref="CC42:CC45" si="4">CB42*0.25</f>
        <v>74.25</v>
      </c>
      <c r="CD42" s="238">
        <v>22.2</v>
      </c>
      <c r="CE42" s="238">
        <v>1.1000000000000001</v>
      </c>
      <c r="CF42" s="239">
        <f t="shared" si="2"/>
        <v>157.54999999999998</v>
      </c>
      <c r="CG42" s="236">
        <f t="shared" ref="CG42:CG43" si="5">CG41*(1+C15)</f>
        <v>1423.3576500000001</v>
      </c>
      <c r="CH42" s="241">
        <f t="shared" si="1"/>
        <v>0.11068897546586409</v>
      </c>
    </row>
    <row r="43" spans="2:86">
      <c r="BY43">
        <v>2027</v>
      </c>
      <c r="BZ43" s="234">
        <v>20</v>
      </c>
      <c r="CA43" s="238">
        <f t="shared" si="3"/>
        <v>60</v>
      </c>
      <c r="CB43" s="234">
        <f>CB42+BZ42</f>
        <v>317</v>
      </c>
      <c r="CC43" s="238">
        <f t="shared" si="4"/>
        <v>79.25</v>
      </c>
      <c r="CD43" s="238">
        <v>22.2</v>
      </c>
      <c r="CE43" s="238">
        <v>1.1000000000000001</v>
      </c>
      <c r="CF43" s="239">
        <f t="shared" si="2"/>
        <v>162.54999999999998</v>
      </c>
      <c r="CG43" s="236">
        <f t="shared" si="5"/>
        <v>1551.4598385000004</v>
      </c>
      <c r="CH43" s="241">
        <f t="shared" si="1"/>
        <v>0.10477228992092917</v>
      </c>
    </row>
    <row r="44" spans="2:86">
      <c r="BY44">
        <v>2028</v>
      </c>
      <c r="BZ44" s="234">
        <v>20</v>
      </c>
      <c r="CA44" s="238">
        <f t="shared" si="3"/>
        <v>60</v>
      </c>
      <c r="CB44" s="234">
        <f>CB43+BZ43</f>
        <v>337</v>
      </c>
      <c r="CC44" s="238">
        <f t="shared" si="4"/>
        <v>84.25</v>
      </c>
      <c r="CD44" s="238">
        <v>22.2</v>
      </c>
      <c r="CE44" s="238">
        <v>1.1000000000000001</v>
      </c>
      <c r="CF44" s="239">
        <f t="shared" si="2"/>
        <v>167.54999999999998</v>
      </c>
      <c r="CG44" s="236">
        <f>CG43*(1+$C$17)</f>
        <v>1687.9883042880006</v>
      </c>
      <c r="CH44" s="241">
        <f t="shared" si="1"/>
        <v>9.926016642080536E-2</v>
      </c>
    </row>
    <row r="45" spans="2:86">
      <c r="BY45">
        <v>2029</v>
      </c>
      <c r="BZ45" s="234">
        <v>20</v>
      </c>
      <c r="CA45" s="238">
        <f t="shared" si="3"/>
        <v>60</v>
      </c>
      <c r="CB45" s="234">
        <f t="shared" ref="CB45" si="6">CB44+BZ44</f>
        <v>357</v>
      </c>
      <c r="CC45" s="238">
        <f t="shared" si="4"/>
        <v>89.25</v>
      </c>
      <c r="CD45" s="238">
        <v>22.2</v>
      </c>
      <c r="CE45" s="238">
        <v>1.1000000000000001</v>
      </c>
      <c r="CF45" s="239">
        <f t="shared" si="2"/>
        <v>172.54999999999998</v>
      </c>
      <c r="CG45" s="236">
        <f>CG44*(1+$C$17)</f>
        <v>1836.5312750653447</v>
      </c>
      <c r="CH45" s="241">
        <f t="shared" si="1"/>
        <v>9.395429434974395E-2</v>
      </c>
    </row>
    <row r="47" spans="2:86" ht="13">
      <c r="BZ47" s="229" t="s">
        <v>229</v>
      </c>
    </row>
    <row r="48" spans="2:86">
      <c r="BZ48" t="s">
        <v>297</v>
      </c>
    </row>
    <row r="49" spans="77:93">
      <c r="BZ49" t="s">
        <v>288</v>
      </c>
    </row>
    <row r="50" spans="77:93">
      <c r="BZ50" t="s">
        <v>289</v>
      </c>
    </row>
    <row r="51" spans="77:93">
      <c r="BZ51" t="s">
        <v>290</v>
      </c>
    </row>
    <row r="53" spans="77:93">
      <c r="BY53" s="234" t="s">
        <v>227</v>
      </c>
      <c r="BZ53" t="s">
        <v>292</v>
      </c>
      <c r="CA53" t="s">
        <v>235</v>
      </c>
      <c r="CB53" t="s">
        <v>293</v>
      </c>
      <c r="CC53" t="s">
        <v>242</v>
      </c>
      <c r="CD53" t="s">
        <v>249</v>
      </c>
      <c r="CE53" t="s">
        <v>254</v>
      </c>
      <c r="CF53" t="s">
        <v>294</v>
      </c>
      <c r="CG53" t="s">
        <v>295</v>
      </c>
      <c r="CH53" t="s">
        <v>296</v>
      </c>
    </row>
    <row r="54" spans="77:93">
      <c r="BY54">
        <v>2024</v>
      </c>
      <c r="BZ54" s="234">
        <v>21</v>
      </c>
      <c r="CA54" s="238">
        <v>65.400000000000006</v>
      </c>
      <c r="CB54" s="234">
        <v>256</v>
      </c>
      <c r="CC54" s="238">
        <v>66.400000000000006</v>
      </c>
      <c r="CD54" s="238">
        <v>22.2</v>
      </c>
      <c r="CE54" s="238">
        <v>1.1000000000000001</v>
      </c>
      <c r="CF54" s="239">
        <f>CA54+CC54+CD54+CE54</f>
        <v>155.1</v>
      </c>
      <c r="CG54" s="240">
        <v>1181.7</v>
      </c>
      <c r="CH54" s="241">
        <f t="shared" ref="CH54:CH59" si="7">CF54/CG54</f>
        <v>0.13125158669713125</v>
      </c>
    </row>
    <row r="55" spans="77:93">
      <c r="BY55">
        <v>2025</v>
      </c>
      <c r="BZ55" s="234">
        <v>30</v>
      </c>
      <c r="CA55" s="238">
        <f>BZ55*3</f>
        <v>90</v>
      </c>
      <c r="CB55" s="234">
        <f>CB54+BZ54</f>
        <v>277</v>
      </c>
      <c r="CC55" s="238">
        <f>CB55*0.25</f>
        <v>69.25</v>
      </c>
      <c r="CD55" s="238">
        <v>22.2</v>
      </c>
      <c r="CE55" s="238">
        <v>1.1000000000000001</v>
      </c>
      <c r="CF55" s="239">
        <f t="shared" ref="CF55:CF59" si="8">CA55+CC55+CD55+CE55</f>
        <v>182.54999999999998</v>
      </c>
      <c r="CG55" s="236">
        <f>CG54*(1+C26)</f>
        <v>1327.09033866353</v>
      </c>
      <c r="CH55" s="241">
        <f t="shared" si="7"/>
        <v>0.13755657371738553</v>
      </c>
    </row>
    <row r="56" spans="77:93">
      <c r="BY56">
        <v>2026</v>
      </c>
      <c r="BZ56" s="234">
        <v>30</v>
      </c>
      <c r="CA56" s="238">
        <f t="shared" ref="CA56:CA59" si="9">BZ56*3</f>
        <v>90</v>
      </c>
      <c r="CB56" s="234">
        <f>CB55+BZ55</f>
        <v>307</v>
      </c>
      <c r="CC56" s="238">
        <f t="shared" ref="CC56:CC59" si="10">CB56*0.25</f>
        <v>76.75</v>
      </c>
      <c r="CD56" s="238">
        <v>22.2</v>
      </c>
      <c r="CE56" s="238">
        <v>1.1000000000000001</v>
      </c>
      <c r="CF56" s="239">
        <f t="shared" si="8"/>
        <v>190.04999999999998</v>
      </c>
      <c r="CG56" s="236">
        <f t="shared" ref="CG56:CG57" si="11">CG55*(1+C27)</f>
        <v>1483.5019712332437</v>
      </c>
      <c r="CH56" s="241">
        <f t="shared" si="7"/>
        <v>0.12810903098565507</v>
      </c>
    </row>
    <row r="57" spans="77:93">
      <c r="BY57">
        <v>2027</v>
      </c>
      <c r="BZ57" s="234">
        <v>30</v>
      </c>
      <c r="CA57" s="238">
        <f t="shared" si="9"/>
        <v>90</v>
      </c>
      <c r="CB57" s="234">
        <f>CB56+BZ56</f>
        <v>337</v>
      </c>
      <c r="CC57" s="238">
        <f t="shared" si="10"/>
        <v>84.25</v>
      </c>
      <c r="CD57" s="238">
        <v>22.2</v>
      </c>
      <c r="CE57" s="238">
        <v>1.1000000000000001</v>
      </c>
      <c r="CF57" s="239">
        <f t="shared" si="8"/>
        <v>197.54999999999998</v>
      </c>
      <c r="CG57" s="236">
        <f t="shared" si="11"/>
        <v>1649.9410584766733</v>
      </c>
      <c r="CH57" s="241">
        <f t="shared" si="7"/>
        <v>0.11973154979390006</v>
      </c>
    </row>
    <row r="58" spans="77:93">
      <c r="BY58">
        <v>2028</v>
      </c>
      <c r="BZ58" s="234">
        <v>30</v>
      </c>
      <c r="CA58" s="238">
        <f t="shared" si="9"/>
        <v>90</v>
      </c>
      <c r="CB58" s="234">
        <f>CB57+BZ57</f>
        <v>367</v>
      </c>
      <c r="CC58" s="238">
        <f t="shared" si="10"/>
        <v>91.75</v>
      </c>
      <c r="CD58" s="238">
        <v>22.2</v>
      </c>
      <c r="CE58" s="238">
        <v>1.1000000000000001</v>
      </c>
      <c r="CF58" s="239">
        <f t="shared" si="8"/>
        <v>205.04999999999998</v>
      </c>
      <c r="CG58" s="236">
        <f>CG57*(1+$C$29)</f>
        <v>1830.7230049002353</v>
      </c>
      <c r="CH58" s="241">
        <f t="shared" si="7"/>
        <v>0.11200492890030303</v>
      </c>
    </row>
    <row r="59" spans="77:93">
      <c r="BY59">
        <v>2029</v>
      </c>
      <c r="BZ59" s="234">
        <v>30</v>
      </c>
      <c r="CA59" s="238">
        <f t="shared" si="9"/>
        <v>90</v>
      </c>
      <c r="CB59" s="234">
        <f t="shared" ref="CB59" si="12">CB58+BZ58</f>
        <v>397</v>
      </c>
      <c r="CC59" s="238">
        <f t="shared" si="10"/>
        <v>99.25</v>
      </c>
      <c r="CD59" s="238">
        <v>22.2</v>
      </c>
      <c r="CE59" s="238">
        <v>1.1000000000000001</v>
      </c>
      <c r="CF59" s="239">
        <f t="shared" si="8"/>
        <v>212.54999999999998</v>
      </c>
      <c r="CG59" s="236">
        <f>CG58*(1+$C$29)</f>
        <v>2031.31299960818</v>
      </c>
      <c r="CH59" s="241">
        <f t="shared" si="7"/>
        <v>0.10463675467099298</v>
      </c>
    </row>
    <row r="61" spans="77:93" ht="13">
      <c r="BZ61" s="229" t="s">
        <v>263</v>
      </c>
      <c r="CI61" s="242"/>
      <c r="CJ61" s="242"/>
      <c r="CK61" s="242"/>
      <c r="CL61" s="242"/>
      <c r="CM61" s="242"/>
      <c r="CN61" s="242"/>
      <c r="CO61" s="242"/>
    </row>
    <row r="62" spans="77:93">
      <c r="BZ62" t="s">
        <v>298</v>
      </c>
      <c r="CI62" s="242"/>
      <c r="CJ62" s="242"/>
      <c r="CK62" s="242"/>
      <c r="CL62" s="242"/>
      <c r="CM62" s="242"/>
      <c r="CN62" s="242"/>
      <c r="CO62" s="242"/>
    </row>
    <row r="63" spans="77:93">
      <c r="BZ63" t="s">
        <v>288</v>
      </c>
      <c r="CI63" s="243"/>
      <c r="CJ63" s="242"/>
      <c r="CK63" s="242"/>
      <c r="CL63" s="242"/>
      <c r="CM63" s="242"/>
      <c r="CN63" s="242"/>
      <c r="CO63" s="242"/>
    </row>
    <row r="64" spans="77:93">
      <c r="BZ64" t="s">
        <v>299</v>
      </c>
      <c r="CI64" s="242"/>
      <c r="CJ64" s="242"/>
      <c r="CK64" s="242"/>
      <c r="CL64" s="242"/>
      <c r="CM64" s="242"/>
      <c r="CN64" s="242"/>
      <c r="CO64" s="242"/>
    </row>
    <row r="65" spans="77:93">
      <c r="BZ65" t="s">
        <v>290</v>
      </c>
      <c r="CI65" s="242"/>
      <c r="CJ65" s="242"/>
      <c r="CK65" s="242"/>
      <c r="CL65" s="242"/>
      <c r="CM65" s="242"/>
      <c r="CN65" s="242"/>
      <c r="CO65" s="242"/>
    </row>
    <row r="66" spans="77:93">
      <c r="CI66" s="242"/>
      <c r="CJ66" s="242"/>
      <c r="CK66" s="242"/>
      <c r="CL66" s="242"/>
      <c r="CM66" s="242"/>
      <c r="CN66" s="242"/>
      <c r="CO66" s="242"/>
    </row>
    <row r="67" spans="77:93">
      <c r="BY67" s="234" t="s">
        <v>227</v>
      </c>
      <c r="BZ67" t="s">
        <v>292</v>
      </c>
      <c r="CA67" t="s">
        <v>235</v>
      </c>
      <c r="CB67" t="s">
        <v>293</v>
      </c>
      <c r="CC67" t="s">
        <v>242</v>
      </c>
      <c r="CD67" t="s">
        <v>249</v>
      </c>
      <c r="CE67" t="s">
        <v>254</v>
      </c>
      <c r="CF67" t="s">
        <v>294</v>
      </c>
      <c r="CG67" t="s">
        <v>295</v>
      </c>
      <c r="CH67" t="s">
        <v>296</v>
      </c>
      <c r="CI67" s="242"/>
      <c r="CJ67" s="242"/>
      <c r="CK67" s="242"/>
      <c r="CL67" s="242"/>
      <c r="CM67" s="242"/>
      <c r="CN67" s="242"/>
      <c r="CO67" s="242"/>
    </row>
    <row r="68" spans="77:93">
      <c r="BY68">
        <v>2024</v>
      </c>
      <c r="BZ68" s="234">
        <v>21</v>
      </c>
      <c r="CA68" s="238">
        <v>65.400000000000006</v>
      </c>
      <c r="CB68" s="234">
        <v>256</v>
      </c>
      <c r="CC68" s="238">
        <v>66.400000000000006</v>
      </c>
      <c r="CD68" s="238">
        <v>22.2</v>
      </c>
      <c r="CE68" s="238">
        <v>1.1000000000000001</v>
      </c>
      <c r="CF68" s="239">
        <f>CA68+CC68+CD68+CE68</f>
        <v>155.1</v>
      </c>
      <c r="CG68" s="240">
        <v>1181.7</v>
      </c>
      <c r="CH68" s="241">
        <f t="shared" ref="CH68:CH73" si="13">CF68/CG68</f>
        <v>0.13125158669713125</v>
      </c>
      <c r="CI68" s="242"/>
      <c r="CJ68" s="242"/>
      <c r="CK68" s="242"/>
      <c r="CL68" s="242"/>
      <c r="CM68" s="242"/>
      <c r="CN68" s="242"/>
      <c r="CO68" s="242"/>
    </row>
    <row r="69" spans="77:93">
      <c r="BY69">
        <v>2025</v>
      </c>
      <c r="BZ69" s="234">
        <v>10</v>
      </c>
      <c r="CA69" s="238">
        <f>BZ69*3</f>
        <v>30</v>
      </c>
      <c r="CB69" s="234">
        <f>CB68+BZ68</f>
        <v>277</v>
      </c>
      <c r="CC69" s="238">
        <f>CB69*0.25</f>
        <v>69.25</v>
      </c>
      <c r="CD69" s="238">
        <v>22.2</v>
      </c>
      <c r="CE69" s="238">
        <v>1.1000000000000001</v>
      </c>
      <c r="CF69" s="239">
        <f t="shared" ref="CF69:CF73" si="14">CA69+CC69+CD69+CE69</f>
        <v>122.55</v>
      </c>
      <c r="CG69" s="236">
        <f>CG68*(1+C38)</f>
        <v>1258.5105000000001</v>
      </c>
      <c r="CH69" s="241">
        <f t="shared" si="13"/>
        <v>9.7377018308548072E-2</v>
      </c>
      <c r="CI69" s="242"/>
      <c r="CJ69" s="242"/>
      <c r="CK69" s="242"/>
      <c r="CL69" s="242"/>
      <c r="CM69" s="242"/>
      <c r="CN69" s="242"/>
      <c r="CO69" s="242"/>
    </row>
    <row r="70" spans="77:93">
      <c r="BY70">
        <v>2026</v>
      </c>
      <c r="BZ70" s="234">
        <v>10</v>
      </c>
      <c r="CA70" s="238">
        <f t="shared" ref="CA70:CA73" si="15">BZ70*3</f>
        <v>30</v>
      </c>
      <c r="CB70" s="234">
        <f>CB69+BZ69</f>
        <v>287</v>
      </c>
      <c r="CC70" s="238">
        <f t="shared" ref="CC70:CC73" si="16">CB70*0.25</f>
        <v>71.75</v>
      </c>
      <c r="CD70" s="238">
        <v>22.2</v>
      </c>
      <c r="CE70" s="238">
        <v>1.1000000000000001</v>
      </c>
      <c r="CF70" s="239">
        <f t="shared" si="14"/>
        <v>125.05</v>
      </c>
      <c r="CG70" s="236">
        <f t="shared" ref="CG70:CG71" si="17">CG69*(1+C39)</f>
        <v>1334.0211300000001</v>
      </c>
      <c r="CH70" s="241">
        <f t="shared" si="13"/>
        <v>9.3739144896453019E-2</v>
      </c>
      <c r="CI70" s="242"/>
      <c r="CJ70" s="242"/>
      <c r="CK70" s="242"/>
      <c r="CL70" s="242"/>
      <c r="CM70" s="242"/>
      <c r="CN70" s="242"/>
      <c r="CO70" s="242"/>
    </row>
    <row r="71" spans="77:93">
      <c r="BY71">
        <v>2027</v>
      </c>
      <c r="BZ71" s="234">
        <v>10</v>
      </c>
      <c r="CA71" s="238">
        <f t="shared" si="15"/>
        <v>30</v>
      </c>
      <c r="CB71" s="234">
        <f>CB70+BZ70</f>
        <v>297</v>
      </c>
      <c r="CC71" s="238">
        <f t="shared" si="16"/>
        <v>74.25</v>
      </c>
      <c r="CD71" s="238">
        <v>22.2</v>
      </c>
      <c r="CE71" s="238">
        <v>1.1000000000000001</v>
      </c>
      <c r="CF71" s="239">
        <f t="shared" si="14"/>
        <v>127.55</v>
      </c>
      <c r="CG71" s="236">
        <f t="shared" si="17"/>
        <v>1407.39229215</v>
      </c>
      <c r="CH71" s="241">
        <f t="shared" si="13"/>
        <v>9.0628604910965152E-2</v>
      </c>
      <c r="CI71" s="242"/>
      <c r="CJ71" s="242"/>
      <c r="CK71" s="242"/>
      <c r="CL71" s="242"/>
      <c r="CM71" s="242"/>
      <c r="CN71" s="242"/>
      <c r="CO71" s="242"/>
    </row>
    <row r="72" spans="77:93">
      <c r="BY72">
        <v>2028</v>
      </c>
      <c r="BZ72" s="234">
        <v>10</v>
      </c>
      <c r="CA72" s="238">
        <f t="shared" si="15"/>
        <v>30</v>
      </c>
      <c r="CB72" s="234">
        <f>CB71+BZ71</f>
        <v>307</v>
      </c>
      <c r="CC72" s="238">
        <f t="shared" si="16"/>
        <v>76.75</v>
      </c>
      <c r="CD72" s="238">
        <v>22.2</v>
      </c>
      <c r="CE72" s="238">
        <v>1.1000000000000001</v>
      </c>
      <c r="CF72" s="239">
        <f t="shared" si="14"/>
        <v>130.04999999999998</v>
      </c>
      <c r="CG72" s="236">
        <f>CG71*(1+$C$41)</f>
        <v>1481.9840836339499</v>
      </c>
      <c r="CH72" s="241">
        <f t="shared" si="13"/>
        <v>8.7753978896390319E-2</v>
      </c>
      <c r="CI72" s="242"/>
      <c r="CJ72" s="242"/>
      <c r="CK72" s="242"/>
      <c r="CL72" s="242"/>
      <c r="CM72" s="242"/>
      <c r="CN72" s="242"/>
      <c r="CO72" s="242"/>
    </row>
    <row r="73" spans="77:93">
      <c r="BY73">
        <v>2029</v>
      </c>
      <c r="BZ73" s="234">
        <v>10</v>
      </c>
      <c r="CA73" s="238">
        <f t="shared" si="15"/>
        <v>30</v>
      </c>
      <c r="CB73" s="234">
        <f t="shared" ref="CB73" si="18">CB72+BZ72</f>
        <v>317</v>
      </c>
      <c r="CC73" s="238">
        <f t="shared" si="16"/>
        <v>79.25</v>
      </c>
      <c r="CD73" s="238">
        <v>22.2</v>
      </c>
      <c r="CE73" s="238">
        <v>1.1000000000000001</v>
      </c>
      <c r="CF73" s="239">
        <f t="shared" si="14"/>
        <v>132.54999999999998</v>
      </c>
      <c r="CG73" s="236">
        <f>CG72*(1+$C$41)</f>
        <v>1560.5292400665492</v>
      </c>
      <c r="CH73" s="241">
        <f t="shared" si="13"/>
        <v>8.493913256911953E-2</v>
      </c>
      <c r="CI73" s="242"/>
      <c r="CJ73" s="242"/>
      <c r="CK73" s="242"/>
      <c r="CL73" s="242"/>
      <c r="CM73" s="242"/>
      <c r="CN73" s="242"/>
      <c r="CO73" s="242"/>
    </row>
    <row r="74" spans="77:93">
      <c r="BY74" s="242"/>
      <c r="BZ74" s="242"/>
      <c r="CA74" s="244"/>
      <c r="CB74" s="244"/>
      <c r="CC74" s="245"/>
      <c r="CD74" s="242"/>
      <c r="CE74" s="242"/>
      <c r="CF74" s="242"/>
      <c r="CG74" s="242"/>
      <c r="CH74" s="242"/>
      <c r="CI74" s="242"/>
      <c r="CJ74" s="242"/>
      <c r="CK74" s="242"/>
      <c r="CL74" s="242"/>
      <c r="CM74" s="242"/>
      <c r="CN74" s="242"/>
      <c r="CO74" s="242"/>
    </row>
    <row r="75" spans="77:93">
      <c r="BY75" s="242"/>
      <c r="BZ75" s="242"/>
      <c r="CA75" s="244"/>
      <c r="CB75" s="244"/>
      <c r="CC75" s="245"/>
      <c r="CD75" s="242"/>
      <c r="CE75" s="242"/>
      <c r="CF75" s="242"/>
      <c r="CG75" s="242"/>
      <c r="CH75" s="242"/>
      <c r="CI75" s="242"/>
      <c r="CJ75" s="242"/>
      <c r="CK75" s="242"/>
      <c r="CL75" s="242"/>
      <c r="CM75" s="242"/>
      <c r="CN75" s="242"/>
      <c r="CO75" s="242"/>
    </row>
    <row r="76" spans="77:93">
      <c r="BY76" s="242"/>
      <c r="BZ76" s="242"/>
      <c r="CA76" s="242"/>
      <c r="CB76" s="242"/>
      <c r="CC76" s="242"/>
      <c r="CD76" s="242"/>
      <c r="CE76" s="242"/>
      <c r="CF76" s="242"/>
      <c r="CG76" s="244"/>
      <c r="CH76" s="246"/>
      <c r="CI76" s="242"/>
      <c r="CJ76" s="242"/>
      <c r="CK76" s="242"/>
      <c r="CL76" s="242"/>
      <c r="CM76" s="242"/>
      <c r="CN76" s="242"/>
      <c r="CO76" s="242"/>
    </row>
    <row r="77" spans="77:93">
      <c r="BY77" s="242"/>
      <c r="BZ77" s="242"/>
      <c r="CA77" s="242"/>
      <c r="CB77" s="242"/>
      <c r="CC77" s="242"/>
      <c r="CD77" s="242"/>
      <c r="CE77" s="242"/>
      <c r="CF77" s="242"/>
      <c r="CG77" s="242"/>
      <c r="CH77" s="242"/>
      <c r="CI77" s="242"/>
      <c r="CJ77" s="242"/>
      <c r="CK77" s="242"/>
      <c r="CL77" s="242"/>
      <c r="CM77" s="242"/>
      <c r="CN77" s="242"/>
      <c r="CO77" s="242"/>
    </row>
    <row r="78" spans="77:93" ht="13">
      <c r="BY78" s="242"/>
      <c r="BZ78" s="247"/>
      <c r="CA78" s="242"/>
      <c r="CB78" s="242"/>
      <c r="CC78" s="242"/>
      <c r="CD78" s="242"/>
      <c r="CE78" s="242"/>
      <c r="CF78" s="242"/>
      <c r="CG78" s="242"/>
      <c r="CH78" s="242"/>
      <c r="CI78" s="242"/>
      <c r="CJ78" s="242"/>
      <c r="CK78" s="242"/>
      <c r="CL78" s="242"/>
      <c r="CM78" s="242"/>
      <c r="CN78" s="242"/>
      <c r="CO78" s="242"/>
    </row>
    <row r="79" spans="77:93">
      <c r="BY79" s="242"/>
      <c r="BZ79" s="242"/>
      <c r="CA79" s="242"/>
      <c r="CB79" s="242"/>
      <c r="CC79" s="242"/>
      <c r="CD79" s="242"/>
      <c r="CE79" s="242"/>
      <c r="CF79" s="242"/>
      <c r="CG79" s="242"/>
      <c r="CH79" s="242"/>
      <c r="CI79" s="242"/>
      <c r="CJ79" s="242"/>
      <c r="CK79" s="242"/>
      <c r="CL79" s="242"/>
      <c r="CM79" s="242"/>
      <c r="CN79" s="242"/>
      <c r="CO79" s="242"/>
    </row>
    <row r="80" spans="77:93">
      <c r="BY80" s="242"/>
      <c r="BZ80" s="242"/>
      <c r="CA80" s="242"/>
      <c r="CB80" s="242"/>
      <c r="CC80" s="248"/>
      <c r="CD80" s="242"/>
      <c r="CE80" s="242"/>
      <c r="CF80" s="242"/>
      <c r="CG80" s="242"/>
      <c r="CH80" s="242"/>
      <c r="CI80" s="242"/>
      <c r="CJ80" s="242"/>
      <c r="CK80" s="242"/>
      <c r="CL80" s="242"/>
      <c r="CM80" s="242"/>
      <c r="CN80" s="242"/>
      <c r="CO80" s="242"/>
    </row>
    <row r="81" spans="77:93">
      <c r="BY81" s="242"/>
      <c r="BZ81" s="249"/>
      <c r="CA81" s="242"/>
      <c r="CB81" s="242"/>
      <c r="CC81" s="242"/>
      <c r="CD81" s="242"/>
      <c r="CE81" s="242"/>
      <c r="CF81" s="242"/>
      <c r="CG81" s="242"/>
      <c r="CH81" s="242"/>
      <c r="CI81" s="242"/>
      <c r="CJ81" s="242"/>
      <c r="CK81" s="242"/>
      <c r="CL81" s="242"/>
      <c r="CM81" s="242"/>
      <c r="CN81" s="242"/>
      <c r="CO81" s="242"/>
    </row>
    <row r="82" spans="77:93">
      <c r="BY82" s="242"/>
      <c r="BZ82" s="242"/>
      <c r="CA82" s="244"/>
      <c r="CB82" s="244"/>
      <c r="CC82" s="245"/>
      <c r="CD82" s="242"/>
      <c r="CE82" s="242"/>
      <c r="CF82" s="242"/>
      <c r="CG82" s="242"/>
      <c r="CH82" s="242"/>
      <c r="CI82" s="242"/>
      <c r="CJ82" s="242"/>
      <c r="CK82" s="242"/>
      <c r="CL82" s="242"/>
      <c r="CM82" s="242"/>
      <c r="CN82" s="242"/>
      <c r="CO82" s="242"/>
    </row>
    <row r="83" spans="77:93">
      <c r="BY83" s="242"/>
      <c r="BZ83" s="242"/>
      <c r="CA83" s="244"/>
      <c r="CB83" s="244"/>
      <c r="CC83" s="245"/>
      <c r="CD83" s="242"/>
      <c r="CE83" s="242"/>
      <c r="CF83" s="242"/>
      <c r="CG83" s="242"/>
      <c r="CH83" s="242"/>
      <c r="CI83" s="242"/>
      <c r="CJ83" s="242"/>
      <c r="CK83" s="242"/>
      <c r="CL83" s="242"/>
      <c r="CM83" s="242"/>
      <c r="CN83" s="242"/>
      <c r="CO83" s="242"/>
    </row>
    <row r="84" spans="77:93">
      <c r="BY84" s="242"/>
      <c r="BZ84" s="242"/>
      <c r="CA84" s="244"/>
      <c r="CB84" s="244"/>
      <c r="CC84" s="245"/>
      <c r="CD84" s="242"/>
      <c r="CE84" s="242"/>
      <c r="CF84" s="242"/>
      <c r="CG84" s="242"/>
      <c r="CH84" s="242"/>
      <c r="CI84" s="242"/>
      <c r="CJ84" s="242"/>
      <c r="CK84" s="242"/>
      <c r="CL84" s="242"/>
      <c r="CM84" s="242"/>
      <c r="CN84" s="242"/>
      <c r="CO84" s="242"/>
    </row>
    <row r="85" spans="77:93">
      <c r="BY85" s="242"/>
      <c r="BZ85" s="242"/>
      <c r="CA85" s="244"/>
      <c r="CB85" s="244"/>
      <c r="CC85" s="245"/>
      <c r="CD85" s="242"/>
      <c r="CE85" s="242"/>
      <c r="CF85" s="242"/>
      <c r="CG85" s="242"/>
      <c r="CH85" s="242"/>
      <c r="CI85" s="242"/>
      <c r="CJ85" s="242"/>
      <c r="CK85" s="242"/>
      <c r="CL85" s="242"/>
      <c r="CM85" s="242"/>
      <c r="CN85" s="242"/>
      <c r="CO85" s="242"/>
    </row>
    <row r="86" spans="77:93">
      <c r="BY86" s="242"/>
      <c r="BZ86" s="242"/>
      <c r="CA86" s="244"/>
      <c r="CB86" s="244"/>
      <c r="CC86" s="245"/>
      <c r="CD86" s="242"/>
      <c r="CE86" s="242"/>
      <c r="CF86" s="242"/>
      <c r="CG86" s="242"/>
      <c r="CH86" s="242"/>
      <c r="CI86" s="242"/>
      <c r="CJ86" s="242"/>
      <c r="CK86" s="242"/>
      <c r="CL86" s="242"/>
      <c r="CM86" s="242"/>
      <c r="CN86" s="242"/>
      <c r="CO86" s="242"/>
    </row>
    <row r="87" spans="77:93">
      <c r="BY87" s="242"/>
      <c r="BZ87" s="242"/>
      <c r="CA87" s="242"/>
      <c r="CB87" s="242"/>
      <c r="CC87" s="242"/>
      <c r="CD87" s="242"/>
      <c r="CE87" s="242"/>
      <c r="CF87" s="242"/>
      <c r="CG87" s="242"/>
      <c r="CH87" s="242"/>
      <c r="CI87" s="242"/>
      <c r="CJ87" s="242"/>
      <c r="CK87" s="242"/>
      <c r="CL87" s="242"/>
      <c r="CM87" s="242"/>
      <c r="CN87" s="242"/>
      <c r="CO87" s="242"/>
    </row>
    <row r="88" spans="77:93" ht="13">
      <c r="BZ88" s="229"/>
    </row>
    <row r="92" spans="77:93">
      <c r="BZ92" s="234"/>
    </row>
    <row r="93" spans="77:93">
      <c r="CA93" s="236"/>
      <c r="CB93" s="236"/>
      <c r="CC93" s="241"/>
    </row>
    <row r="94" spans="77:93">
      <c r="CA94" s="236"/>
      <c r="CB94" s="236"/>
      <c r="CC94" s="241"/>
    </row>
    <row r="95" spans="77:93">
      <c r="CA95" s="236"/>
      <c r="CB95" s="236"/>
      <c r="CC95" s="241"/>
    </row>
    <row r="96" spans="77:93">
      <c r="CA96" s="236"/>
      <c r="CB96" s="236"/>
      <c r="CC96" s="241"/>
    </row>
    <row r="97" spans="78:81">
      <c r="CA97" s="236"/>
      <c r="CB97" s="236"/>
      <c r="CC97" s="241"/>
    </row>
    <row r="99" spans="78:81" ht="13">
      <c r="BZ99" s="229"/>
    </row>
    <row r="103" spans="78:81">
      <c r="BZ103" s="234"/>
    </row>
    <row r="104" spans="78:81">
      <c r="CA104" s="236"/>
      <c r="CB104" s="236"/>
      <c r="CC104" s="241"/>
    </row>
    <row r="105" spans="78:81">
      <c r="CA105" s="236"/>
      <c r="CB105" s="236"/>
      <c r="CC105" s="241"/>
    </row>
    <row r="106" spans="78:81">
      <c r="CA106" s="236"/>
      <c r="CB106" s="236"/>
      <c r="CC106" s="241"/>
    </row>
    <row r="107" spans="78:81">
      <c r="CA107" s="236"/>
      <c r="CB107" s="236"/>
      <c r="CC107" s="241"/>
    </row>
    <row r="108" spans="78:81">
      <c r="CA108" s="236"/>
      <c r="CB108" s="236"/>
      <c r="CC108" s="241"/>
    </row>
  </sheetData>
  <mergeCells count="1">
    <mergeCell ref="B20:S2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93E5A-2653-4974-A021-A55E79FD3D85}">
  <sheetPr>
    <tabColor theme="4" tint="0.79998168889431442"/>
  </sheetPr>
  <dimension ref="A1:J24"/>
  <sheetViews>
    <sheetView showGridLines="0" workbookViewId="0"/>
  </sheetViews>
  <sheetFormatPr defaultColWidth="8.81640625" defaultRowHeight="12.5"/>
  <cols>
    <col min="1" max="1" width="21.1796875" customWidth="1"/>
    <col min="2" max="2" width="14.453125" customWidth="1"/>
    <col min="3" max="3" width="7.1796875" bestFit="1" customWidth="1"/>
  </cols>
  <sheetData>
    <row r="1" spans="1:10" ht="16" thickBot="1">
      <c r="A1" s="225" t="str">
        <f>Cover!G6</f>
        <v>Planet Fitness, Inc.</v>
      </c>
      <c r="B1" s="226"/>
      <c r="C1" s="226"/>
      <c r="D1" s="226"/>
      <c r="E1" s="226"/>
      <c r="F1" s="226"/>
      <c r="G1" s="226"/>
      <c r="H1" s="226"/>
      <c r="I1" s="226"/>
      <c r="J1" s="226"/>
    </row>
    <row r="3" spans="1:10">
      <c r="A3" t="s">
        <v>300</v>
      </c>
    </row>
    <row r="4" spans="1:10">
      <c r="A4" t="s">
        <v>301</v>
      </c>
    </row>
    <row r="5" spans="1:10">
      <c r="A5" t="s">
        <v>302</v>
      </c>
    </row>
    <row r="6" spans="1:10">
      <c r="A6" t="s">
        <v>303</v>
      </c>
    </row>
    <row r="7" spans="1:10">
      <c r="A7" t="s">
        <v>304</v>
      </c>
    </row>
    <row r="8" spans="1:10">
      <c r="A8" t="s">
        <v>305</v>
      </c>
    </row>
    <row r="9" spans="1:10">
      <c r="A9" t="s">
        <v>306</v>
      </c>
    </row>
    <row r="10" spans="1:10">
      <c r="A10" t="s">
        <v>307</v>
      </c>
      <c r="B10" t="s">
        <v>308</v>
      </c>
    </row>
    <row r="11" spans="1:10">
      <c r="A11" s="250"/>
    </row>
    <row r="12" spans="1:10" ht="14.5">
      <c r="A12" s="251" t="s">
        <v>309</v>
      </c>
      <c r="B12" s="251" t="s">
        <v>307</v>
      </c>
      <c r="C12" s="251" t="s">
        <v>228</v>
      </c>
    </row>
    <row r="13" spans="1:10">
      <c r="A13" s="252">
        <v>45292</v>
      </c>
      <c r="B13">
        <v>22915.665000000001</v>
      </c>
    </row>
    <row r="14" spans="1:10">
      <c r="A14" s="252">
        <v>45658</v>
      </c>
      <c r="B14">
        <v>23443.525000000001</v>
      </c>
      <c r="C14" s="253">
        <f>B14/B13-1</f>
        <v>2.3034897743530403E-2</v>
      </c>
    </row>
    <row r="15" spans="1:10">
      <c r="A15" s="252">
        <v>46023</v>
      </c>
      <c r="B15">
        <v>23979.4575</v>
      </c>
      <c r="C15" s="253">
        <f t="shared" ref="C15:C24" si="0">B15/B14-1</f>
        <v>2.2860576641098085E-2</v>
      </c>
    </row>
    <row r="16" spans="1:10">
      <c r="A16" s="252">
        <v>46388</v>
      </c>
      <c r="B16">
        <v>24511.642500000002</v>
      </c>
      <c r="C16" s="253">
        <f t="shared" si="0"/>
        <v>2.2193371138609086E-2</v>
      </c>
    </row>
    <row r="17" spans="1:3">
      <c r="A17" s="252">
        <v>46753</v>
      </c>
      <c r="B17">
        <v>25040.327499999999</v>
      </c>
      <c r="C17" s="253">
        <f t="shared" si="0"/>
        <v>2.1568730043284523E-2</v>
      </c>
    </row>
    <row r="18" spans="1:3">
      <c r="A18" s="252">
        <v>47119</v>
      </c>
      <c r="B18">
        <v>25565.52</v>
      </c>
      <c r="C18" s="253">
        <f t="shared" si="0"/>
        <v>2.0973867055053441E-2</v>
      </c>
    </row>
    <row r="19" spans="1:3">
      <c r="A19" s="252">
        <v>47484</v>
      </c>
      <c r="B19">
        <v>26080.052500000002</v>
      </c>
      <c r="C19" s="253">
        <f t="shared" si="0"/>
        <v>2.0126033031989898E-2</v>
      </c>
    </row>
    <row r="20" spans="1:3">
      <c r="A20" s="252">
        <v>47849</v>
      </c>
      <c r="B20">
        <v>26585.797500000001</v>
      </c>
      <c r="C20" s="253">
        <f t="shared" si="0"/>
        <v>1.9392023846577677E-2</v>
      </c>
    </row>
    <row r="21" spans="1:3">
      <c r="A21" s="252">
        <v>48214</v>
      </c>
      <c r="B21">
        <v>27086.587500000001</v>
      </c>
      <c r="C21" s="253">
        <f t="shared" si="0"/>
        <v>1.8836749207918224E-2</v>
      </c>
    </row>
    <row r="22" spans="1:3">
      <c r="A22" s="252">
        <v>48580</v>
      </c>
      <c r="B22">
        <v>27582.27</v>
      </c>
      <c r="C22" s="253">
        <f t="shared" si="0"/>
        <v>1.8299924270637646E-2</v>
      </c>
    </row>
    <row r="23" spans="1:3">
      <c r="A23" s="252">
        <v>48945</v>
      </c>
      <c r="B23">
        <v>28078.165000000001</v>
      </c>
      <c r="C23" s="253">
        <f t="shared" si="0"/>
        <v>1.7978759543721301E-2</v>
      </c>
    </row>
    <row r="24" spans="1:3">
      <c r="A24" s="252">
        <v>49310</v>
      </c>
      <c r="B24">
        <v>28572.4375</v>
      </c>
      <c r="C24" s="253">
        <f t="shared" si="0"/>
        <v>1.7603447376279613E-2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2">
    <tabColor theme="7" tint="0.79998168889431442"/>
  </sheetPr>
  <dimension ref="A1:S37"/>
  <sheetViews>
    <sheetView showGridLines="0" topLeftCell="A10" zoomScale="85" workbookViewId="0">
      <selection activeCell="F33" sqref="F33:F36"/>
    </sheetView>
  </sheetViews>
  <sheetFormatPr defaultRowHeight="12.5"/>
  <cols>
    <col min="1" max="1" width="0.81640625" customWidth="1"/>
    <col min="2" max="4" width="9.7265625" customWidth="1"/>
    <col min="5" max="5" width="9.7265625" style="66" customWidth="1"/>
    <col min="6" max="6" width="6.54296875" bestFit="1" customWidth="1"/>
    <col min="7" max="15" width="12.7265625" customWidth="1"/>
  </cols>
  <sheetData>
    <row r="1" spans="1:16" s="126" customFormat="1" ht="15.5">
      <c r="A1" s="97"/>
      <c r="B1" s="173" t="s">
        <v>310</v>
      </c>
      <c r="C1" s="173"/>
      <c r="D1" s="173"/>
      <c r="E1" s="173"/>
      <c r="F1" s="173"/>
      <c r="G1" s="173"/>
      <c r="H1" s="173"/>
      <c r="I1" s="173"/>
      <c r="J1" s="173"/>
      <c r="K1" s="173"/>
      <c r="L1" s="173"/>
      <c r="M1" s="173"/>
      <c r="N1" s="173"/>
      <c r="O1" s="173"/>
      <c r="P1" s="60"/>
    </row>
    <row r="2" spans="1:16" ht="13">
      <c r="A2" s="97"/>
      <c r="B2" s="98"/>
      <c r="C2" s="98"/>
      <c r="D2" s="98"/>
      <c r="E2" s="123"/>
      <c r="F2" s="109" t="s">
        <v>10</v>
      </c>
      <c r="G2" s="316"/>
      <c r="H2" s="316"/>
      <c r="I2" s="316"/>
      <c r="J2" s="316"/>
      <c r="K2" s="316"/>
      <c r="L2" s="316"/>
      <c r="M2" s="316"/>
      <c r="N2" s="316"/>
      <c r="O2" s="109"/>
    </row>
    <row r="3" spans="1:16" ht="13">
      <c r="A3" s="98"/>
      <c r="B3" s="224"/>
      <c r="C3" s="98"/>
      <c r="D3" s="98"/>
      <c r="E3" s="123"/>
      <c r="F3" s="386">
        <v>1</v>
      </c>
      <c r="G3" s="386">
        <v>2</v>
      </c>
      <c r="H3" s="386">
        <v>3</v>
      </c>
      <c r="I3" s="386">
        <v>4</v>
      </c>
      <c r="J3" s="386">
        <v>5</v>
      </c>
      <c r="K3" s="386">
        <v>6</v>
      </c>
      <c r="L3" s="386">
        <v>7</v>
      </c>
      <c r="M3" s="386">
        <v>8</v>
      </c>
      <c r="N3" s="386">
        <v>9</v>
      </c>
      <c r="O3" s="386">
        <v>10</v>
      </c>
    </row>
    <row r="4" spans="1:16" ht="13">
      <c r="A4" s="98"/>
      <c r="B4" s="224"/>
      <c r="C4" s="98"/>
      <c r="D4" s="98"/>
      <c r="E4" s="123"/>
      <c r="F4" s="103">
        <f>+DCF!J6</f>
        <v>2025</v>
      </c>
      <c r="G4" s="103">
        <f>+DCF!K6</f>
        <v>2026</v>
      </c>
      <c r="H4" s="103">
        <f>+DCF!L6</f>
        <v>2027</v>
      </c>
      <c r="I4" s="103">
        <f>+DCF!M6</f>
        <v>2028</v>
      </c>
      <c r="J4" s="103">
        <f>+DCF!N6</f>
        <v>2029</v>
      </c>
      <c r="K4" s="103">
        <f>+J4+1</f>
        <v>2030</v>
      </c>
      <c r="L4" s="103">
        <f>+K4+1</f>
        <v>2031</v>
      </c>
      <c r="M4" s="103">
        <f>+L4+1</f>
        <v>2032</v>
      </c>
      <c r="N4" s="103">
        <f>+M4+1</f>
        <v>2033</v>
      </c>
      <c r="O4" s="103">
        <f>+N4+1</f>
        <v>2034</v>
      </c>
    </row>
    <row r="5" spans="1:16" ht="13">
      <c r="A5" s="98"/>
      <c r="B5" s="224"/>
      <c r="C5" s="98"/>
      <c r="D5" s="98"/>
      <c r="E5" s="123"/>
      <c r="F5" s="99"/>
      <c r="G5" s="99"/>
      <c r="H5" s="99"/>
      <c r="I5" s="99"/>
      <c r="J5" s="99"/>
      <c r="K5" s="99"/>
      <c r="L5" s="99"/>
      <c r="M5" s="99"/>
      <c r="N5" s="99"/>
      <c r="O5" s="99"/>
    </row>
    <row r="6" spans="1:16" s="200" customFormat="1" ht="13">
      <c r="A6" s="101"/>
      <c r="B6" s="197" t="s">
        <v>92</v>
      </c>
      <c r="C6" s="198"/>
      <c r="D6" s="198"/>
      <c r="E6" s="199"/>
      <c r="F6" s="198"/>
      <c r="G6" s="198"/>
      <c r="H6" s="198"/>
      <c r="I6" s="198"/>
      <c r="J6" s="198"/>
      <c r="K6" s="198"/>
      <c r="L6" s="198"/>
      <c r="M6" s="198"/>
      <c r="N6" s="198"/>
      <c r="O6" s="198"/>
      <c r="P6" s="385"/>
    </row>
    <row r="7" spans="1:16" ht="13">
      <c r="A7" s="97"/>
      <c r="B7" s="391" t="s">
        <v>311</v>
      </c>
      <c r="C7" s="98"/>
      <c r="D7" s="98"/>
      <c r="E7" s="123"/>
      <c r="F7" s="414">
        <f>CHOOSE(DCF!$D$4,F8,F9,F10,#REF!,#REF!)</f>
        <v>18.706312061816771</v>
      </c>
      <c r="G7" s="414">
        <f>CHOOSE(DCF!$D$4,G8,G9,G10,#REF!,#REF!)</f>
        <v>18.706312061816771</v>
      </c>
      <c r="H7" s="414">
        <f>CHOOSE(DCF!$D$4,H8,H9,H10,#REF!,#REF!)</f>
        <v>18.706312061816771</v>
      </c>
      <c r="I7" s="414">
        <f>CHOOSE(DCF!$D$4,I8,I9,I10,#REF!,#REF!)</f>
        <v>18.706312061816771</v>
      </c>
      <c r="J7" s="414">
        <f>CHOOSE(DCF!$D$4,J8,J9,J10,#REF!,#REF!)</f>
        <v>18.706312061816771</v>
      </c>
      <c r="K7" s="414">
        <f>CHOOSE(DCF!$D$4,K8,K9,K10,#REF!,#REF!)</f>
        <v>18.706312061816771</v>
      </c>
      <c r="L7" s="414">
        <f>CHOOSE(DCF!$D$4,L8,L9,L10,#REF!,#REF!)</f>
        <v>18.706312061816771</v>
      </c>
      <c r="M7" s="414">
        <f>CHOOSE(DCF!$D$4,M8,M9,M10,#REF!,#REF!)</f>
        <v>18.706312061816771</v>
      </c>
      <c r="N7" s="414">
        <f>CHOOSE(DCF!$D$4,N8,N9,N10,#REF!,#REF!)</f>
        <v>18.706312061816771</v>
      </c>
      <c r="O7" s="414">
        <f>CHOOSE(DCF!$D$4,O8,O9,O10,#REF!,#REF!)</f>
        <v>18.706312061816771</v>
      </c>
    </row>
    <row r="8" spans="1:16" ht="13">
      <c r="A8" s="97"/>
      <c r="B8" s="224" t="s">
        <v>186</v>
      </c>
      <c r="C8" s="98"/>
      <c r="D8" s="98"/>
      <c r="E8" s="124">
        <v>1</v>
      </c>
      <c r="F8" s="403">
        <f>'Assumption 2 Documentation'!$F$5</f>
        <v>18.706312061816771</v>
      </c>
      <c r="G8" s="412">
        <f>'Assumption 2 Documentation'!$F$5</f>
        <v>18.706312061816771</v>
      </c>
      <c r="H8" s="412">
        <f>'Assumption 2 Documentation'!$F$5</f>
        <v>18.706312061816771</v>
      </c>
      <c r="I8" s="412">
        <f>'Assumption 2 Documentation'!$F$5</f>
        <v>18.706312061816771</v>
      </c>
      <c r="J8" s="412">
        <f>'Assumption 2 Documentation'!$F$5</f>
        <v>18.706312061816771</v>
      </c>
      <c r="K8" s="411">
        <f>'Assumption 2 Documentation'!$F$5</f>
        <v>18.706312061816771</v>
      </c>
      <c r="L8" s="411">
        <f>'Assumption 2 Documentation'!$F$5</f>
        <v>18.706312061816771</v>
      </c>
      <c r="M8" s="411">
        <f>'Assumption 2 Documentation'!$F$5</f>
        <v>18.706312061816771</v>
      </c>
      <c r="N8" s="411">
        <f>'Assumption 2 Documentation'!$F$5</f>
        <v>18.706312061816771</v>
      </c>
      <c r="O8" s="410">
        <f>'Assumption 2 Documentation'!$F$5</f>
        <v>18.706312061816771</v>
      </c>
    </row>
    <row r="9" spans="1:16" ht="13">
      <c r="A9" s="97"/>
      <c r="B9" s="224" t="s">
        <v>187</v>
      </c>
      <c r="C9" s="98"/>
      <c r="D9" s="98"/>
      <c r="E9" s="124">
        <v>2</v>
      </c>
      <c r="F9" s="420">
        <f>'Assumption 2 Documentation'!$K$5</f>
        <v>18</v>
      </c>
      <c r="G9" s="295">
        <v>17.8</v>
      </c>
      <c r="H9" s="295">
        <v>17.5</v>
      </c>
      <c r="I9" s="295">
        <v>17.2</v>
      </c>
      <c r="J9" s="295">
        <v>17</v>
      </c>
      <c r="K9" s="294">
        <v>16.8</v>
      </c>
      <c r="L9" s="294">
        <v>16.7</v>
      </c>
      <c r="M9" s="294">
        <v>16.600000000000001</v>
      </c>
      <c r="N9" s="294">
        <v>16.5</v>
      </c>
      <c r="O9" s="293">
        <v>16.5</v>
      </c>
    </row>
    <row r="10" spans="1:16" ht="13">
      <c r="A10" s="97"/>
      <c r="B10" s="224" t="s">
        <v>188</v>
      </c>
      <c r="C10" s="98"/>
      <c r="D10" s="98"/>
      <c r="E10" s="124">
        <v>3</v>
      </c>
      <c r="F10" s="419">
        <v>20</v>
      </c>
      <c r="G10" s="418">
        <v>20.5</v>
      </c>
      <c r="H10" s="418">
        <v>21</v>
      </c>
      <c r="I10" s="418">
        <v>21.5</v>
      </c>
      <c r="J10" s="418">
        <v>22</v>
      </c>
      <c r="K10" s="417">
        <v>22.3</v>
      </c>
      <c r="L10" s="417">
        <v>22.6</v>
      </c>
      <c r="M10" s="417">
        <v>22.8</v>
      </c>
      <c r="N10" s="417">
        <v>23</v>
      </c>
      <c r="O10" s="416">
        <v>23</v>
      </c>
    </row>
    <row r="11" spans="1:16" ht="13">
      <c r="A11" s="97"/>
      <c r="B11" s="224"/>
      <c r="C11" s="98"/>
      <c r="D11" s="98"/>
      <c r="E11" s="124"/>
      <c r="F11" s="415"/>
      <c r="G11" s="415"/>
      <c r="H11" s="415"/>
      <c r="I11" s="415"/>
      <c r="J11" s="415"/>
      <c r="K11" s="415"/>
      <c r="L11" s="415"/>
      <c r="M11" s="415"/>
      <c r="N11" s="415"/>
      <c r="O11" s="415"/>
    </row>
    <row r="12" spans="1:16" ht="13">
      <c r="A12" s="97"/>
      <c r="B12" s="391" t="s">
        <v>312</v>
      </c>
      <c r="C12" s="98"/>
      <c r="D12" s="98"/>
      <c r="E12" s="124"/>
      <c r="F12" s="414">
        <f>CHOOSE(DCF!$D$4,F13,F14,F15,#REF!,#REF!)</f>
        <v>0</v>
      </c>
      <c r="G12" s="414">
        <f>CHOOSE(DCF!$D$4,G13,G14,G15,#REF!,#REF!)</f>
        <v>0</v>
      </c>
      <c r="H12" s="414">
        <f>CHOOSE(DCF!$D$4,H13,H14,H15,#REF!,#REF!)</f>
        <v>0</v>
      </c>
      <c r="I12" s="414">
        <f>CHOOSE(DCF!$D$4,I13,I14,I15,#REF!,#REF!)</f>
        <v>0</v>
      </c>
      <c r="J12" s="414">
        <f>CHOOSE(DCF!$D$4,J13,J14,J15,#REF!,#REF!)</f>
        <v>0</v>
      </c>
      <c r="K12" s="414">
        <f>CHOOSE(DCF!$D$4,K13,K14,K15,#REF!,#REF!)</f>
        <v>0</v>
      </c>
      <c r="L12" s="414">
        <f>CHOOSE(DCF!$D$4,L13,L14,L15,#REF!,#REF!)</f>
        <v>0</v>
      </c>
      <c r="M12" s="414">
        <f>CHOOSE(DCF!$D$4,M13,M14,M15,#REF!,#REF!)</f>
        <v>0</v>
      </c>
      <c r="N12" s="414">
        <f>CHOOSE(DCF!$D$4,N13,N14,N15,#REF!,#REF!)</f>
        <v>0</v>
      </c>
      <c r="O12" s="414">
        <f>CHOOSE(DCF!$D$4,O13,O14,O15,#REF!,#REF!)</f>
        <v>0</v>
      </c>
    </row>
    <row r="13" spans="1:16" ht="13">
      <c r="A13" s="97"/>
      <c r="B13" s="224" t="s">
        <v>186</v>
      </c>
      <c r="C13" s="98"/>
      <c r="D13" s="98"/>
      <c r="E13" s="124">
        <v>1</v>
      </c>
      <c r="F13" s="413">
        <v>0</v>
      </c>
      <c r="G13" s="412">
        <f>F13</f>
        <v>0</v>
      </c>
      <c r="H13" s="412">
        <f>G13</f>
        <v>0</v>
      </c>
      <c r="I13" s="412">
        <f t="shared" ref="I13:O13" si="0">H13</f>
        <v>0</v>
      </c>
      <c r="J13" s="412">
        <f>I13</f>
        <v>0</v>
      </c>
      <c r="K13" s="411">
        <f t="shared" si="0"/>
        <v>0</v>
      </c>
      <c r="L13" s="411">
        <f t="shared" si="0"/>
        <v>0</v>
      </c>
      <c r="M13" s="411">
        <f t="shared" si="0"/>
        <v>0</v>
      </c>
      <c r="N13" s="411">
        <f t="shared" si="0"/>
        <v>0</v>
      </c>
      <c r="O13" s="410">
        <f t="shared" si="0"/>
        <v>0</v>
      </c>
    </row>
    <row r="14" spans="1:16" ht="13">
      <c r="A14" s="97"/>
      <c r="B14" s="224" t="s">
        <v>187</v>
      </c>
      <c r="C14" s="98"/>
      <c r="D14" s="98"/>
      <c r="E14" s="124">
        <v>2</v>
      </c>
      <c r="F14" s="409">
        <v>0</v>
      </c>
      <c r="G14" s="295">
        <f>F14</f>
        <v>0</v>
      </c>
      <c r="H14" s="295">
        <f t="shared" ref="H14:O14" si="1">G14</f>
        <v>0</v>
      </c>
      <c r="I14" s="295">
        <f t="shared" si="1"/>
        <v>0</v>
      </c>
      <c r="J14" s="295">
        <f t="shared" si="1"/>
        <v>0</v>
      </c>
      <c r="K14" s="294">
        <f t="shared" si="1"/>
        <v>0</v>
      </c>
      <c r="L14" s="294">
        <f t="shared" si="1"/>
        <v>0</v>
      </c>
      <c r="M14" s="294">
        <f t="shared" si="1"/>
        <v>0</v>
      </c>
      <c r="N14" s="294">
        <f t="shared" si="1"/>
        <v>0</v>
      </c>
      <c r="O14" s="293">
        <f t="shared" si="1"/>
        <v>0</v>
      </c>
    </row>
    <row r="15" spans="1:16" ht="13">
      <c r="A15" s="97"/>
      <c r="B15" s="224" t="s">
        <v>188</v>
      </c>
      <c r="C15" s="98"/>
      <c r="D15" s="98"/>
      <c r="E15" s="124">
        <v>3</v>
      </c>
      <c r="F15" s="408">
        <v>0</v>
      </c>
      <c r="G15" s="418">
        <f>F15</f>
        <v>0</v>
      </c>
      <c r="H15" s="418">
        <f t="shared" ref="H15:O15" si="2">G15</f>
        <v>0</v>
      </c>
      <c r="I15" s="418">
        <f t="shared" si="2"/>
        <v>0</v>
      </c>
      <c r="J15" s="418">
        <f t="shared" si="2"/>
        <v>0</v>
      </c>
      <c r="K15" s="417">
        <f t="shared" si="2"/>
        <v>0</v>
      </c>
      <c r="L15" s="417">
        <f t="shared" si="2"/>
        <v>0</v>
      </c>
      <c r="M15" s="417">
        <f t="shared" si="2"/>
        <v>0</v>
      </c>
      <c r="N15" s="417">
        <f t="shared" si="2"/>
        <v>0</v>
      </c>
      <c r="O15" s="416">
        <f t="shared" si="2"/>
        <v>0</v>
      </c>
    </row>
    <row r="16" spans="1:16" ht="13">
      <c r="A16" s="97"/>
      <c r="B16" s="224"/>
      <c r="C16" s="98"/>
      <c r="D16" s="98"/>
      <c r="E16" s="124"/>
      <c r="F16" s="407"/>
      <c r="G16" s="407"/>
      <c r="H16" s="407"/>
      <c r="I16" s="407"/>
      <c r="J16" s="407"/>
      <c r="K16" s="407"/>
      <c r="L16" s="407"/>
      <c r="M16" s="407"/>
      <c r="N16" s="407"/>
      <c r="O16" s="407"/>
    </row>
    <row r="17" spans="1:19" ht="13">
      <c r="A17" s="97"/>
      <c r="B17" s="391" t="s">
        <v>313</v>
      </c>
      <c r="C17" s="98"/>
      <c r="D17" s="98"/>
      <c r="E17" s="124"/>
      <c r="F17" s="426">
        <f>CHOOSE(DCF!$D$4,F18,F19,F20,#REF!,#REF!)</f>
        <v>1.431E-2</v>
      </c>
      <c r="G17" s="426">
        <f>CHOOSE(DCF!$D$4,G18,G19,G20,#REF!,#REF!)</f>
        <v>1.431E-2</v>
      </c>
      <c r="H17" s="426">
        <f>CHOOSE(DCF!$D$4,H18,H19,H20,#REF!,#REF!)</f>
        <v>1.431E-2</v>
      </c>
      <c r="I17" s="426">
        <f>CHOOSE(DCF!$D$4,I18,I19,I20,#REF!,#REF!)</f>
        <v>1.431E-2</v>
      </c>
      <c r="J17" s="426">
        <f>CHOOSE(DCF!$D$4,J18,J19,J20,#REF!,#REF!)</f>
        <v>1.431E-2</v>
      </c>
      <c r="K17" s="426">
        <f>CHOOSE(DCF!$D$4,K18,K19,K20,#REF!,#REF!)</f>
        <v>1.431E-2</v>
      </c>
      <c r="L17" s="426">
        <f>CHOOSE(DCF!$D$4,L18,L19,L20,#REF!,#REF!)</f>
        <v>1.431E-2</v>
      </c>
      <c r="M17" s="426">
        <f>CHOOSE(DCF!$D$4,M18,M19,M20,#REF!,#REF!)</f>
        <v>1.431E-2</v>
      </c>
      <c r="N17" s="426">
        <f>CHOOSE(DCF!$D$4,N18,N19,N20,#REF!,#REF!)</f>
        <v>1.431E-2</v>
      </c>
      <c r="O17" s="426">
        <f>CHOOSE(DCF!$D$4,O18,O19,O20,#REF!,#REF!)</f>
        <v>1.431E-2</v>
      </c>
    </row>
    <row r="18" spans="1:19" ht="23.25" customHeight="1">
      <c r="A18" s="97"/>
      <c r="B18" s="224" t="s">
        <v>186</v>
      </c>
      <c r="C18" s="98"/>
      <c r="D18" s="98"/>
      <c r="E18" s="124">
        <v>1</v>
      </c>
      <c r="F18" s="444">
        <f>'Assumption 2 Documentation'!$F$7</f>
        <v>1.431E-2</v>
      </c>
      <c r="G18" s="393">
        <f>'Assumption 2 Documentation'!$F$7</f>
        <v>1.431E-2</v>
      </c>
      <c r="H18" s="393">
        <f>'Assumption 2 Documentation'!$F$7</f>
        <v>1.431E-2</v>
      </c>
      <c r="I18" s="393">
        <f>'Assumption 2 Documentation'!$F$7</f>
        <v>1.431E-2</v>
      </c>
      <c r="J18" s="393">
        <f>'Assumption 2 Documentation'!$F$7</f>
        <v>1.431E-2</v>
      </c>
      <c r="K18" s="296">
        <f>'Assumption 2 Documentation'!$F$7</f>
        <v>1.431E-2</v>
      </c>
      <c r="L18" s="393">
        <f>'Assumption 2 Documentation'!$F$7</f>
        <v>1.431E-2</v>
      </c>
      <c r="M18" s="393">
        <f>'Assumption 2 Documentation'!$F$7</f>
        <v>1.431E-2</v>
      </c>
      <c r="N18" s="393">
        <f>'Assumption 2 Documentation'!$F$7</f>
        <v>1.431E-2</v>
      </c>
      <c r="O18" s="446">
        <f>'Assumption 2 Documentation'!$F$7</f>
        <v>1.431E-2</v>
      </c>
    </row>
    <row r="19" spans="1:19" ht="13">
      <c r="A19" s="97"/>
      <c r="B19" s="224" t="s">
        <v>187</v>
      </c>
      <c r="C19" s="98"/>
      <c r="D19" s="98"/>
      <c r="E19" s="124">
        <v>2</v>
      </c>
      <c r="F19" s="445">
        <v>1.35E-2</v>
      </c>
      <c r="G19" s="442">
        <v>1.32E-2</v>
      </c>
      <c r="H19" s="442">
        <v>1.2999999999999999E-2</v>
      </c>
      <c r="I19" s="442">
        <v>1.2800000000000001E-2</v>
      </c>
      <c r="J19" s="442">
        <v>1.26E-2</v>
      </c>
      <c r="K19" s="427">
        <v>1.2E-2</v>
      </c>
      <c r="L19" s="447">
        <v>1.2200000000000001E-2</v>
      </c>
      <c r="M19" s="447">
        <v>1.21E-2</v>
      </c>
      <c r="N19" s="447">
        <v>1.2E-2</v>
      </c>
      <c r="O19" s="448">
        <v>1.2E-2</v>
      </c>
    </row>
    <row r="20" spans="1:19" ht="13">
      <c r="A20" s="97"/>
      <c r="B20" s="224" t="s">
        <v>188</v>
      </c>
      <c r="C20" s="98"/>
      <c r="D20" s="98"/>
      <c r="E20" s="124">
        <v>3</v>
      </c>
      <c r="F20" s="298">
        <v>1.4999999999999999E-2</v>
      </c>
      <c r="G20" s="443">
        <v>1.55E-2</v>
      </c>
      <c r="H20" s="443">
        <v>1.5800000000000002E-2</v>
      </c>
      <c r="I20" s="443">
        <v>1.6199999999999999E-2</v>
      </c>
      <c r="J20" s="443">
        <v>1.6500000000000001E-2</v>
      </c>
      <c r="K20" s="428">
        <v>1.6E-2</v>
      </c>
      <c r="L20" s="449">
        <v>1.6799999999999999E-2</v>
      </c>
      <c r="M20" s="449">
        <v>1.6899999999999998E-2</v>
      </c>
      <c r="N20" s="449">
        <v>1.7000000000000001E-2</v>
      </c>
      <c r="O20" s="450">
        <v>1.7000000000000001E-2</v>
      </c>
      <c r="S20" s="297"/>
    </row>
    <row r="21" spans="1:19" ht="13">
      <c r="A21" s="97"/>
      <c r="B21" s="224"/>
      <c r="C21" s="98"/>
      <c r="D21" s="98"/>
      <c r="E21" s="124"/>
      <c r="F21" s="407"/>
      <c r="G21" s="407"/>
      <c r="H21" s="407"/>
      <c r="I21" s="407"/>
      <c r="J21" s="407"/>
      <c r="K21" s="407"/>
      <c r="L21" s="407"/>
      <c r="M21" s="407"/>
      <c r="N21" s="407"/>
      <c r="O21" s="407"/>
    </row>
    <row r="22" spans="1:19" ht="13">
      <c r="A22" s="97"/>
      <c r="B22" s="100" t="s">
        <v>97</v>
      </c>
      <c r="C22" s="98"/>
      <c r="D22" s="98"/>
      <c r="E22" s="124"/>
      <c r="F22" s="404"/>
      <c r="G22" s="404"/>
      <c r="H22" s="404"/>
      <c r="I22" s="404"/>
      <c r="J22" s="404"/>
      <c r="K22" s="404"/>
      <c r="L22" s="404"/>
      <c r="M22" s="404"/>
      <c r="N22" s="404"/>
      <c r="O22" s="404"/>
    </row>
    <row r="23" spans="1:19" ht="13">
      <c r="A23" s="97"/>
      <c r="B23" s="391" t="s">
        <v>314</v>
      </c>
      <c r="C23" s="98"/>
      <c r="D23" s="98"/>
      <c r="E23" s="124"/>
      <c r="F23" s="414">
        <f>CHOOSE(DCF!$D$4,F24,F25,F26,#REF!,#REF!)</f>
        <v>18.100000000000001</v>
      </c>
      <c r="G23" s="414">
        <f>CHOOSE(DCF!$D$4,G24,G25,G26,#REF!,#REF!)</f>
        <v>18.100000000000001</v>
      </c>
      <c r="H23" s="414">
        <f>CHOOSE(DCF!$D$4,H24,H25,H26,#REF!,#REF!)</f>
        <v>18.100000000000001</v>
      </c>
      <c r="I23" s="414">
        <f>CHOOSE(DCF!$D$4,I24,I25,I26,#REF!,#REF!)</f>
        <v>18.100000000000001</v>
      </c>
      <c r="J23" s="414">
        <f>CHOOSE(DCF!$D$4,J24,J25,J26,#REF!,#REF!)</f>
        <v>18.100000000000001</v>
      </c>
      <c r="K23" s="414">
        <f>CHOOSE(DCF!$D$4,K24,K25,K26,#REF!,#REF!)</f>
        <v>18.100000000000001</v>
      </c>
      <c r="L23" s="414">
        <f>CHOOSE(DCF!$D$4,L24,L25,L26,#REF!,#REF!)</f>
        <v>18.100000000000001</v>
      </c>
      <c r="M23" s="414">
        <f>CHOOSE(DCF!$D$4,M24,M25,M26,#REF!,#REF!)</f>
        <v>18.100000000000001</v>
      </c>
      <c r="N23" s="414">
        <f>CHOOSE(DCF!$D$4,N24,N25,N26,#REF!,#REF!)</f>
        <v>18.100000000000001</v>
      </c>
      <c r="O23" s="414">
        <f>CHOOSE(DCF!$D$4,O24,O25,O26,#REF!,#REF!)</f>
        <v>18.100000000000001</v>
      </c>
    </row>
    <row r="24" spans="1:19" ht="13">
      <c r="A24" s="97"/>
      <c r="B24" s="224" t="s">
        <v>186</v>
      </c>
      <c r="C24" s="98"/>
      <c r="D24" s="98"/>
      <c r="E24" s="124">
        <v>1</v>
      </c>
      <c r="F24" s="403">
        <v>18.100000000000001</v>
      </c>
      <c r="G24" s="412">
        <f>F24</f>
        <v>18.100000000000001</v>
      </c>
      <c r="H24" s="412">
        <f t="shared" ref="H24:O24" si="3">G24</f>
        <v>18.100000000000001</v>
      </c>
      <c r="I24" s="412">
        <f t="shared" si="3"/>
        <v>18.100000000000001</v>
      </c>
      <c r="J24" s="412">
        <f t="shared" si="3"/>
        <v>18.100000000000001</v>
      </c>
      <c r="K24" s="411">
        <f t="shared" si="3"/>
        <v>18.100000000000001</v>
      </c>
      <c r="L24" s="411">
        <f t="shared" si="3"/>
        <v>18.100000000000001</v>
      </c>
      <c r="M24" s="411">
        <f t="shared" si="3"/>
        <v>18.100000000000001</v>
      </c>
      <c r="N24" s="411">
        <f t="shared" si="3"/>
        <v>18.100000000000001</v>
      </c>
      <c r="O24" s="410">
        <f t="shared" si="3"/>
        <v>18.100000000000001</v>
      </c>
    </row>
    <row r="25" spans="1:19" ht="13">
      <c r="A25" s="97"/>
      <c r="B25" s="224" t="s">
        <v>187</v>
      </c>
      <c r="C25" s="98"/>
      <c r="D25" s="98"/>
      <c r="E25" s="124">
        <v>2</v>
      </c>
      <c r="F25" s="420">
        <v>19</v>
      </c>
      <c r="G25" s="295">
        <v>19.5</v>
      </c>
      <c r="H25" s="295">
        <v>20</v>
      </c>
      <c r="I25" s="295">
        <v>20.5</v>
      </c>
      <c r="J25" s="295">
        <v>21</v>
      </c>
      <c r="K25" s="294">
        <v>21.3</v>
      </c>
      <c r="L25" s="294">
        <v>21.6</v>
      </c>
      <c r="M25" s="294">
        <v>21.8</v>
      </c>
      <c r="N25" s="294">
        <v>22</v>
      </c>
      <c r="O25" s="293">
        <v>22</v>
      </c>
    </row>
    <row r="26" spans="1:19" ht="13">
      <c r="A26" s="97"/>
      <c r="B26" s="224" t="s">
        <v>188</v>
      </c>
      <c r="C26" s="98"/>
      <c r="D26" s="98"/>
      <c r="E26" s="124">
        <v>3</v>
      </c>
      <c r="F26" s="419">
        <v>17</v>
      </c>
      <c r="G26" s="418">
        <v>16.5</v>
      </c>
      <c r="H26" s="418">
        <v>16</v>
      </c>
      <c r="I26" s="418">
        <v>15.7</v>
      </c>
      <c r="J26" s="418">
        <v>15.5</v>
      </c>
      <c r="K26" s="417">
        <v>15.3</v>
      </c>
      <c r="L26" s="417">
        <v>15.2</v>
      </c>
      <c r="M26" s="417">
        <v>15.1</v>
      </c>
      <c r="N26" s="417">
        <v>15</v>
      </c>
      <c r="O26" s="416">
        <v>15</v>
      </c>
    </row>
    <row r="27" spans="1:19" ht="13">
      <c r="A27" s="97"/>
      <c r="B27" s="224"/>
      <c r="C27" s="98"/>
      <c r="D27" s="98"/>
      <c r="E27" s="124"/>
      <c r="F27" s="407"/>
      <c r="G27" s="407"/>
      <c r="H27" s="407"/>
      <c r="I27" s="407"/>
      <c r="J27" s="407"/>
      <c r="K27" s="407"/>
      <c r="L27" s="407"/>
      <c r="M27" s="407"/>
      <c r="N27" s="407"/>
      <c r="O27" s="407"/>
    </row>
    <row r="28" spans="1:19" ht="13">
      <c r="A28" s="97"/>
      <c r="B28" s="391" t="s">
        <v>109</v>
      </c>
      <c r="C28" s="98"/>
      <c r="D28" s="98"/>
      <c r="E28" s="124"/>
      <c r="F28" s="451">
        <f>CHOOSE(DCF!$D$4,F29,F30,F31,#REF!,#REF!)</f>
        <v>6.4000000000000001E-2</v>
      </c>
      <c r="G28" s="402">
        <f>CHOOSE(DCF!$D$4,G29,G30,G31,#REF!,#REF!)</f>
        <v>6.4000000000000001E-2</v>
      </c>
      <c r="H28" s="402">
        <f>CHOOSE(DCF!$D$4,H29,H30,H31,#REF!,#REF!)</f>
        <v>6.4000000000000001E-2</v>
      </c>
      <c r="I28" s="402">
        <f>CHOOSE(DCF!$D$4,I29,I30,I31,#REF!,#REF!)</f>
        <v>6.4000000000000001E-2</v>
      </c>
      <c r="J28" s="402">
        <f>CHOOSE(DCF!$D$4,J29,J30,J31,#REF!,#REF!)</f>
        <v>6.4000000000000001E-2</v>
      </c>
      <c r="K28" s="402">
        <f>CHOOSE(DCF!$D$4,K29,K30,K31,#REF!,#REF!)</f>
        <v>6.4000000000000001E-2</v>
      </c>
      <c r="L28" s="402">
        <f>CHOOSE(DCF!$D$4,L29,L30,L31,#REF!,#REF!)</f>
        <v>6.4000000000000001E-2</v>
      </c>
      <c r="M28" s="402">
        <f>CHOOSE(DCF!$D$4,M29,M30,M31,#REF!,#REF!)</f>
        <v>6.4000000000000001E-2</v>
      </c>
      <c r="N28" s="402">
        <f>CHOOSE(DCF!$D$4,N29,N30,N31,#REF!,#REF!)</f>
        <v>6.4000000000000001E-2</v>
      </c>
      <c r="O28" s="402">
        <f>CHOOSE(DCF!$D$4,O29,O30,O31,#REF!,#REF!)</f>
        <v>6.4000000000000001E-2</v>
      </c>
    </row>
    <row r="29" spans="1:19" ht="13">
      <c r="A29" s="97"/>
      <c r="B29" s="224" t="s">
        <v>186</v>
      </c>
      <c r="C29" s="98"/>
      <c r="D29" s="98"/>
      <c r="E29" s="124">
        <v>1</v>
      </c>
      <c r="F29" s="452">
        <v>6.4000000000000001E-2</v>
      </c>
      <c r="G29" s="401">
        <f>F29</f>
        <v>6.4000000000000001E-2</v>
      </c>
      <c r="H29" s="401">
        <f t="shared" ref="H29:O29" si="4">G29</f>
        <v>6.4000000000000001E-2</v>
      </c>
      <c r="I29" s="401">
        <f t="shared" si="4"/>
        <v>6.4000000000000001E-2</v>
      </c>
      <c r="J29" s="401">
        <f t="shared" si="4"/>
        <v>6.4000000000000001E-2</v>
      </c>
      <c r="K29" s="400">
        <f t="shared" si="4"/>
        <v>6.4000000000000001E-2</v>
      </c>
      <c r="L29" s="400">
        <f t="shared" si="4"/>
        <v>6.4000000000000001E-2</v>
      </c>
      <c r="M29" s="400">
        <f t="shared" si="4"/>
        <v>6.4000000000000001E-2</v>
      </c>
      <c r="N29" s="400">
        <f t="shared" si="4"/>
        <v>6.4000000000000001E-2</v>
      </c>
      <c r="O29" s="399">
        <f t="shared" si="4"/>
        <v>6.4000000000000001E-2</v>
      </c>
    </row>
    <row r="30" spans="1:19" ht="13">
      <c r="A30" s="97"/>
      <c r="B30" s="224" t="s">
        <v>187</v>
      </c>
      <c r="C30" s="98"/>
      <c r="D30" s="98"/>
      <c r="E30" s="124">
        <v>2</v>
      </c>
      <c r="F30" s="453">
        <v>6.6000000000000003E-2</v>
      </c>
      <c r="G30" s="296">
        <v>6.6000000000000003E-2</v>
      </c>
      <c r="H30" s="296">
        <v>6.7000000000000004E-2</v>
      </c>
      <c r="I30" s="296">
        <v>6.7000000000000004E-2</v>
      </c>
      <c r="J30" s="296">
        <v>6.7000000000000004E-2</v>
      </c>
      <c r="K30" s="406">
        <v>6.7000000000000004E-2</v>
      </c>
      <c r="L30" s="406">
        <v>6.8000000000000005E-2</v>
      </c>
      <c r="M30" s="406">
        <v>6.8000000000000005E-2</v>
      </c>
      <c r="N30" s="406">
        <v>6.8000000000000005E-2</v>
      </c>
      <c r="O30" s="398">
        <v>6.8000000000000005E-2</v>
      </c>
    </row>
    <row r="31" spans="1:19" ht="13">
      <c r="A31" s="97"/>
      <c r="B31" s="224" t="s">
        <v>188</v>
      </c>
      <c r="C31" s="98"/>
      <c r="D31" s="98"/>
      <c r="E31" s="124">
        <v>3</v>
      </c>
      <c r="F31" s="454">
        <v>6.2E-2</v>
      </c>
      <c r="G31" s="397">
        <v>6.0999999999999999E-2</v>
      </c>
      <c r="H31" s="397">
        <v>0.06</v>
      </c>
      <c r="I31" s="397">
        <v>0.06</v>
      </c>
      <c r="J31" s="397">
        <v>5.8999999999999997E-2</v>
      </c>
      <c r="K31" s="405">
        <v>5.8999999999999997E-2</v>
      </c>
      <c r="L31" s="405">
        <v>5.8000000000000003E-2</v>
      </c>
      <c r="M31" s="405">
        <v>5.8000000000000003E-2</v>
      </c>
      <c r="N31" s="405">
        <v>5.8000000000000003E-2</v>
      </c>
      <c r="O31" s="396">
        <v>5.8000000000000003E-2</v>
      </c>
    </row>
    <row r="32" spans="1:19" ht="13">
      <c r="A32" s="101"/>
      <c r="B32" s="224"/>
      <c r="C32" s="98"/>
      <c r="D32" s="98"/>
      <c r="E32" s="124"/>
      <c r="F32" s="395"/>
      <c r="G32" s="395"/>
      <c r="H32" s="395"/>
      <c r="I32" s="395"/>
      <c r="J32" s="395"/>
      <c r="K32" s="395"/>
      <c r="L32" s="395"/>
      <c r="M32" s="395"/>
      <c r="N32" s="395"/>
      <c r="O32" s="395"/>
    </row>
    <row r="33" spans="1:15" ht="13">
      <c r="A33" s="97"/>
      <c r="B33" s="391" t="s">
        <v>110</v>
      </c>
      <c r="C33" s="98"/>
      <c r="D33" s="98"/>
      <c r="E33" s="124"/>
      <c r="F33" s="451">
        <f>CHOOSE(DCF!$D$4,F34,F35,F36,#REF!,#REF!)</f>
        <v>4.2000000000000003E-2</v>
      </c>
      <c r="G33" s="402">
        <f>CHOOSE(DCF!$D$4,G34,G35,G36,#REF!,#REF!)</f>
        <v>4.2000000000000003E-2</v>
      </c>
      <c r="H33" s="402">
        <f>CHOOSE(DCF!$D$4,H34,H35,H36,#REF!,#REF!)</f>
        <v>4.2000000000000003E-2</v>
      </c>
      <c r="I33" s="402">
        <f>CHOOSE(DCF!$D$4,I34,I35,I36,#REF!,#REF!)</f>
        <v>4.2000000000000003E-2</v>
      </c>
      <c r="J33" s="402">
        <f>CHOOSE(DCF!$D$4,J34,J35,J36,#REF!,#REF!)</f>
        <v>4.2000000000000003E-2</v>
      </c>
      <c r="K33" s="402">
        <f>CHOOSE(DCF!$D$4,K34,K35,K36,#REF!,#REF!)</f>
        <v>4.2000000000000003E-2</v>
      </c>
      <c r="L33" s="402">
        <f>CHOOSE(DCF!$D$4,L34,L35,L36,#REF!,#REF!)</f>
        <v>4.2000000000000003E-2</v>
      </c>
      <c r="M33" s="402">
        <f>CHOOSE(DCF!$D$4,M34,M35,M36,#REF!,#REF!)</f>
        <v>4.2000000000000003E-2</v>
      </c>
      <c r="N33" s="402">
        <f>CHOOSE(DCF!$D$4,N34,N35,N36,#REF!,#REF!)</f>
        <v>4.2000000000000003E-2</v>
      </c>
      <c r="O33" s="402">
        <f>CHOOSE(DCF!$D$4,O34,O35,O36,#REF!,#REF!)</f>
        <v>4.2000000000000003E-2</v>
      </c>
    </row>
    <row r="34" spans="1:15" ht="13">
      <c r="A34" s="97"/>
      <c r="B34" s="224" t="s">
        <v>186</v>
      </c>
      <c r="C34" s="98"/>
      <c r="D34" s="98"/>
      <c r="E34" s="124">
        <v>1</v>
      </c>
      <c r="F34" s="455">
        <v>4.2000000000000003E-2</v>
      </c>
      <c r="G34" s="401">
        <f>F34</f>
        <v>4.2000000000000003E-2</v>
      </c>
      <c r="H34" s="401">
        <f t="shared" ref="H34:O34" si="5">G34</f>
        <v>4.2000000000000003E-2</v>
      </c>
      <c r="I34" s="401">
        <f t="shared" si="5"/>
        <v>4.2000000000000003E-2</v>
      </c>
      <c r="J34" s="401">
        <f t="shared" si="5"/>
        <v>4.2000000000000003E-2</v>
      </c>
      <c r="K34" s="400">
        <f t="shared" si="5"/>
        <v>4.2000000000000003E-2</v>
      </c>
      <c r="L34" s="400">
        <f t="shared" si="5"/>
        <v>4.2000000000000003E-2</v>
      </c>
      <c r="M34" s="400">
        <f t="shared" si="5"/>
        <v>4.2000000000000003E-2</v>
      </c>
      <c r="N34" s="400">
        <f t="shared" si="5"/>
        <v>4.2000000000000003E-2</v>
      </c>
      <c r="O34" s="399">
        <f t="shared" si="5"/>
        <v>4.2000000000000003E-2</v>
      </c>
    </row>
    <row r="35" spans="1:15" ht="13">
      <c r="A35" s="97"/>
      <c r="B35" s="224" t="s">
        <v>187</v>
      </c>
      <c r="C35" s="98"/>
      <c r="D35" s="98"/>
      <c r="E35" s="124">
        <v>2</v>
      </c>
      <c r="F35" s="456">
        <v>4.2999999999999997E-2</v>
      </c>
      <c r="G35" s="296">
        <v>4.2999999999999997E-2</v>
      </c>
      <c r="H35" s="296">
        <v>4.3999999999999997E-2</v>
      </c>
      <c r="I35" s="296">
        <v>4.3999999999999997E-2</v>
      </c>
      <c r="J35" s="296">
        <v>4.3999999999999997E-2</v>
      </c>
      <c r="K35" s="406">
        <v>4.3999999999999997E-2</v>
      </c>
      <c r="L35" s="406">
        <v>4.4999999999999998E-2</v>
      </c>
      <c r="M35" s="406">
        <v>4.4999999999999998E-2</v>
      </c>
      <c r="N35" s="406">
        <v>4.4999999999999998E-2</v>
      </c>
      <c r="O35" s="398">
        <v>4.4999999999999998E-2</v>
      </c>
    </row>
    <row r="36" spans="1:15" ht="13">
      <c r="A36" s="97"/>
      <c r="B36" s="224" t="s">
        <v>188</v>
      </c>
      <c r="C36" s="98"/>
      <c r="D36" s="98"/>
      <c r="E36" s="124">
        <v>3</v>
      </c>
      <c r="F36" s="457">
        <v>0.04</v>
      </c>
      <c r="G36" s="397">
        <v>3.9E-2</v>
      </c>
      <c r="H36" s="397">
        <v>3.9E-2</v>
      </c>
      <c r="I36" s="397">
        <v>3.7999999999999999E-2</v>
      </c>
      <c r="J36" s="397">
        <v>3.7999999999999999E-2</v>
      </c>
      <c r="K36" s="405">
        <v>3.7999999999999999E-2</v>
      </c>
      <c r="L36" s="405">
        <v>3.6999999999999998E-2</v>
      </c>
      <c r="M36" s="405">
        <v>3.6999999999999998E-2</v>
      </c>
      <c r="N36" s="405">
        <v>3.6999999999999998E-2</v>
      </c>
      <c r="O36" s="396">
        <v>3.6999999999999998E-2</v>
      </c>
    </row>
    <row r="37" spans="1:15" ht="13">
      <c r="B37" s="224"/>
      <c r="C37" s="383"/>
      <c r="D37" s="383"/>
      <c r="E37" s="360"/>
      <c r="F37" s="75"/>
      <c r="G37" s="75"/>
      <c r="H37" s="75"/>
      <c r="I37" s="75"/>
      <c r="J37" s="75"/>
      <c r="K37" s="75"/>
      <c r="L37" s="75"/>
      <c r="M37" s="75"/>
      <c r="N37" s="75"/>
      <c r="O37" s="75"/>
    </row>
  </sheetData>
  <phoneticPr fontId="3" type="noConversion"/>
  <pageMargins left="0.75" right="0.75" top="1" bottom="1" header="0.5" footer="0.5"/>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571F-76BC-4AC2-8267-DF0F5CDDEE3D}">
  <sheetPr>
    <tabColor theme="7" tint="0.79998168889431442"/>
  </sheetPr>
  <dimension ref="B1:T57"/>
  <sheetViews>
    <sheetView zoomScale="75" workbookViewId="0">
      <selection activeCell="B11" sqref="B11"/>
    </sheetView>
  </sheetViews>
  <sheetFormatPr defaultColWidth="8.81640625" defaultRowHeight="12.5"/>
  <cols>
    <col min="1" max="1" width="0.81640625" customWidth="1"/>
    <col min="2" max="2" width="52.1796875" customWidth="1"/>
    <col min="3" max="3" width="9.1796875" customWidth="1"/>
    <col min="6" max="6" width="19.453125" customWidth="1"/>
    <col min="7" max="7" width="20.1796875" customWidth="1"/>
    <col min="9" max="9" width="11.26953125" customWidth="1"/>
    <col min="10" max="10" width="10.7265625" customWidth="1"/>
    <col min="11" max="11" width="14.1796875" customWidth="1"/>
    <col min="12" max="12" width="67.26953125" customWidth="1"/>
    <col min="13" max="14" width="15" customWidth="1"/>
    <col min="15" max="15" width="15.1796875" customWidth="1"/>
  </cols>
  <sheetData>
    <row r="1" spans="2:14" ht="15.5">
      <c r="B1" s="254"/>
    </row>
    <row r="3" spans="2:14" ht="12.65" customHeight="1">
      <c r="B3" s="572" t="s">
        <v>384</v>
      </c>
      <c r="C3" s="572"/>
      <c r="D3" s="572"/>
      <c r="E3" s="572"/>
      <c r="F3" s="572"/>
      <c r="G3" s="572"/>
      <c r="H3" s="255" t="s">
        <v>315</v>
      </c>
    </row>
    <row r="4" spans="2:14" ht="13">
      <c r="B4" s="256" t="s">
        <v>316</v>
      </c>
      <c r="C4" s="257" t="s">
        <v>317</v>
      </c>
      <c r="D4" s="257" t="s">
        <v>318</v>
      </c>
      <c r="E4" s="257" t="s">
        <v>319</v>
      </c>
      <c r="F4" s="257" t="s">
        <v>320</v>
      </c>
      <c r="G4" s="258" t="s">
        <v>321</v>
      </c>
      <c r="H4" s="259" t="s">
        <v>316</v>
      </c>
      <c r="I4" s="259" t="s">
        <v>322</v>
      </c>
      <c r="J4" s="259" t="s">
        <v>323</v>
      </c>
      <c r="K4" s="259" t="s">
        <v>324</v>
      </c>
      <c r="L4" s="259" t="s">
        <v>325</v>
      </c>
      <c r="M4" s="259" t="s">
        <v>326</v>
      </c>
      <c r="N4" s="259" t="s">
        <v>327</v>
      </c>
    </row>
    <row r="5" spans="2:14">
      <c r="B5" s="260" t="s">
        <v>328</v>
      </c>
      <c r="C5" s="261">
        <v>23.829499999999999</v>
      </c>
      <c r="D5" s="261">
        <v>14.271892962552947</v>
      </c>
      <c r="E5" s="261">
        <v>18.017543222897356</v>
      </c>
      <c r="F5" s="261">
        <f>AVERAGE(C5:E5)</f>
        <v>18.706312061816771</v>
      </c>
      <c r="G5" s="262" t="s">
        <v>329</v>
      </c>
      <c r="H5" s="263" t="s">
        <v>328</v>
      </c>
      <c r="I5" s="263">
        <f>18.706</f>
        <v>18.706</v>
      </c>
      <c r="J5" s="263">
        <v>18.7</v>
      </c>
      <c r="K5" s="263">
        <v>18</v>
      </c>
      <c r="L5" s="263">
        <v>16.5</v>
      </c>
      <c r="M5" s="263">
        <v>20</v>
      </c>
      <c r="N5" s="263">
        <v>23</v>
      </c>
    </row>
    <row r="6" spans="2:14">
      <c r="B6" s="260" t="s">
        <v>330</v>
      </c>
      <c r="C6" s="261">
        <v>21.184170000000002</v>
      </c>
      <c r="D6" s="261">
        <v>16.90081</v>
      </c>
      <c r="E6" s="261">
        <v>16.231580000000001</v>
      </c>
      <c r="F6" s="261">
        <v>18.11</v>
      </c>
      <c r="G6" s="262" t="s">
        <v>329</v>
      </c>
      <c r="H6" s="263" t="s">
        <v>330</v>
      </c>
      <c r="I6" s="263">
        <f>18.1</f>
        <v>18.100000000000001</v>
      </c>
      <c r="J6" s="263">
        <v>18.100000000000001</v>
      </c>
      <c r="K6" s="263">
        <v>19</v>
      </c>
      <c r="L6" s="263">
        <v>22</v>
      </c>
      <c r="M6" s="263">
        <v>17</v>
      </c>
      <c r="N6" s="263">
        <v>15</v>
      </c>
    </row>
    <row r="7" spans="2:14">
      <c r="B7" s="260" t="s">
        <v>331</v>
      </c>
      <c r="C7" s="261">
        <v>1.8193999999999998E-2</v>
      </c>
      <c r="D7" s="261">
        <v>1.2919999999999999E-2</v>
      </c>
      <c r="E7" s="261">
        <v>1.1826E-2</v>
      </c>
      <c r="F7" s="261">
        <v>1.431E-2</v>
      </c>
      <c r="G7" s="262" t="s">
        <v>329</v>
      </c>
      <c r="H7" s="263" t="s">
        <v>332</v>
      </c>
      <c r="I7" s="263">
        <f>1.43%</f>
        <v>1.43E-2</v>
      </c>
      <c r="J7" s="263">
        <v>1.43E-2</v>
      </c>
      <c r="K7" s="264">
        <v>1.4E-2</v>
      </c>
      <c r="L7" s="263">
        <v>1.2E-2</v>
      </c>
      <c r="M7" s="263">
        <v>1.4999999999999999E-2</v>
      </c>
      <c r="N7" s="263">
        <v>1.7000000000000001E-2</v>
      </c>
    </row>
    <row r="8" spans="2:14">
      <c r="B8" s="260" t="s">
        <v>333</v>
      </c>
      <c r="C8" s="261">
        <v>5.7458000000000002E-2</v>
      </c>
      <c r="D8" s="261">
        <v>6.1885000000000003E-2</v>
      </c>
      <c r="E8" s="261">
        <v>7.1514999999999995E-2</v>
      </c>
      <c r="F8" s="261">
        <v>6.3619999999999996E-2</v>
      </c>
      <c r="G8" s="262" t="s">
        <v>329</v>
      </c>
      <c r="H8" s="263" t="s">
        <v>334</v>
      </c>
      <c r="I8" s="263">
        <f>6.4%</f>
        <v>6.4000000000000001E-2</v>
      </c>
      <c r="J8" s="263">
        <f>6.4%</f>
        <v>6.4000000000000001E-2</v>
      </c>
      <c r="K8" s="263">
        <v>6.6000000000000003E-2</v>
      </c>
      <c r="L8" s="263">
        <v>6.8000000000000005E-2</v>
      </c>
      <c r="M8" s="263">
        <v>6.2E-2</v>
      </c>
      <c r="N8" s="263">
        <v>5.8000000000000003E-2</v>
      </c>
    </row>
    <row r="9" spans="2:14">
      <c r="B9" s="260" t="s">
        <v>335</v>
      </c>
      <c r="C9" s="261">
        <v>3.5159000000000003E-2</v>
      </c>
      <c r="D9" s="261">
        <v>3.6970000000000003E-2</v>
      </c>
      <c r="E9" s="261">
        <v>5.3919000000000002E-2</v>
      </c>
      <c r="F9" s="261">
        <v>4.2020000000000002E-2</v>
      </c>
      <c r="G9" s="262" t="s">
        <v>329</v>
      </c>
      <c r="H9" s="263" t="s">
        <v>336</v>
      </c>
      <c r="I9" s="263">
        <f>4.2%</f>
        <v>4.2000000000000003E-2</v>
      </c>
      <c r="J9" s="263">
        <f>4.2%</f>
        <v>4.2000000000000003E-2</v>
      </c>
      <c r="K9" s="263">
        <f>4.3%</f>
        <v>4.2999999999999997E-2</v>
      </c>
      <c r="L9" s="263">
        <v>4.4999999999999998E-2</v>
      </c>
      <c r="M9" s="263">
        <v>0.04</v>
      </c>
      <c r="N9" s="263">
        <v>3.6999999999999998E-2</v>
      </c>
    </row>
    <row r="10" spans="2:14">
      <c r="B10" t="s">
        <v>337</v>
      </c>
    </row>
    <row r="11" spans="2:14">
      <c r="B11" s="265" t="s">
        <v>338</v>
      </c>
    </row>
    <row r="12" spans="2:14" ht="14.5">
      <c r="B12" s="266" t="s">
        <v>339</v>
      </c>
    </row>
    <row r="13" spans="2:14" ht="14.5">
      <c r="B13" s="266"/>
    </row>
    <row r="14" spans="2:14" ht="18" customHeight="1">
      <c r="B14" s="267" t="s">
        <v>340</v>
      </c>
      <c r="C14" s="268"/>
      <c r="D14" s="268"/>
      <c r="E14" s="268"/>
      <c r="F14" s="268"/>
      <c r="G14" s="268"/>
      <c r="H14" s="268"/>
      <c r="I14" s="268"/>
      <c r="J14" s="268"/>
      <c r="K14" s="269"/>
    </row>
    <row r="15" spans="2:14" ht="18" customHeight="1">
      <c r="B15" s="270" t="s">
        <v>341</v>
      </c>
      <c r="C15" s="271"/>
      <c r="D15" s="271"/>
      <c r="E15" s="271"/>
      <c r="F15" s="271"/>
      <c r="G15" s="271"/>
      <c r="H15" s="271"/>
      <c r="I15" s="271"/>
      <c r="J15" s="271"/>
      <c r="K15" s="272"/>
      <c r="L15" s="254"/>
      <c r="M15" s="273"/>
      <c r="N15" s="273"/>
    </row>
    <row r="16" spans="2:14" ht="111" customHeight="1">
      <c r="B16" s="573" t="s">
        <v>411</v>
      </c>
      <c r="C16" s="574"/>
      <c r="D16" s="574"/>
      <c r="E16" s="574"/>
      <c r="F16" s="574"/>
      <c r="G16" s="574"/>
      <c r="H16" s="574"/>
      <c r="I16" s="574"/>
      <c r="J16" s="271"/>
      <c r="K16" s="272"/>
      <c r="L16" s="254" t="s">
        <v>342</v>
      </c>
      <c r="M16" s="273"/>
      <c r="N16" s="273"/>
    </row>
    <row r="17" spans="2:20">
      <c r="B17" s="276"/>
      <c r="C17" s="275"/>
      <c r="D17" s="275"/>
      <c r="E17" s="275"/>
      <c r="F17" s="275"/>
      <c r="G17" s="275"/>
      <c r="H17" s="275"/>
      <c r="I17" s="275"/>
      <c r="J17" s="275"/>
      <c r="K17" s="277"/>
      <c r="L17" s="575" t="s">
        <v>343</v>
      </c>
      <c r="M17" s="575"/>
      <c r="N17" s="575"/>
      <c r="O17" s="575"/>
      <c r="P17" s="575"/>
      <c r="Q17" s="575"/>
      <c r="R17" s="575"/>
      <c r="S17" s="575"/>
      <c r="T17" s="575"/>
    </row>
    <row r="18" spans="2:20" ht="16.5" customHeight="1">
      <c r="B18" s="278" t="s">
        <v>344</v>
      </c>
      <c r="C18" s="275"/>
      <c r="D18" s="275"/>
      <c r="E18" s="275"/>
      <c r="F18" s="275"/>
      <c r="G18" s="275"/>
      <c r="H18" s="275"/>
      <c r="I18" s="275"/>
      <c r="J18" s="275"/>
      <c r="K18" s="275"/>
      <c r="L18" s="576"/>
      <c r="M18" s="575"/>
      <c r="N18" s="575"/>
      <c r="O18" s="575"/>
      <c r="P18" s="575"/>
      <c r="Q18" s="575"/>
      <c r="R18" s="575"/>
      <c r="S18" s="575"/>
      <c r="T18" s="575"/>
    </row>
    <row r="19" spans="2:20" ht="20.25" customHeight="1">
      <c r="B19" s="279" t="s">
        <v>345</v>
      </c>
      <c r="C19" s="275" t="s">
        <v>346</v>
      </c>
      <c r="D19" s="275"/>
      <c r="E19" s="275"/>
      <c r="F19" s="275"/>
      <c r="G19" s="275"/>
      <c r="H19" s="275"/>
      <c r="I19" s="275"/>
      <c r="J19" s="275"/>
      <c r="K19" s="275"/>
      <c r="L19" s="577" t="s">
        <v>406</v>
      </c>
      <c r="M19" s="578"/>
      <c r="N19" s="578"/>
      <c r="O19" s="578"/>
      <c r="P19" s="578"/>
      <c r="Q19" s="578"/>
      <c r="R19" s="578"/>
      <c r="S19" s="578"/>
      <c r="T19" s="578"/>
    </row>
    <row r="20" spans="2:20" ht="13">
      <c r="B20" s="280" t="s">
        <v>341</v>
      </c>
      <c r="C20" s="275" t="s">
        <v>347</v>
      </c>
      <c r="D20" s="275"/>
      <c r="E20" s="275"/>
      <c r="F20" s="275"/>
      <c r="G20" s="275"/>
      <c r="H20" s="275"/>
      <c r="I20" s="275"/>
      <c r="J20" s="275"/>
      <c r="K20" s="275"/>
      <c r="L20" s="577"/>
      <c r="M20" s="578"/>
      <c r="N20" s="578"/>
      <c r="O20" s="578"/>
      <c r="P20" s="578"/>
      <c r="Q20" s="578"/>
      <c r="R20" s="578"/>
      <c r="S20" s="578"/>
      <c r="T20" s="578"/>
    </row>
    <row r="21" spans="2:20" ht="44.25" customHeight="1">
      <c r="B21" s="281" t="s">
        <v>348</v>
      </c>
      <c r="C21" s="579" t="s">
        <v>349</v>
      </c>
      <c r="D21" s="574"/>
      <c r="E21" s="574"/>
      <c r="F21" s="574"/>
      <c r="G21" s="574"/>
      <c r="H21" s="574"/>
      <c r="I21" s="574"/>
      <c r="J21" s="574"/>
      <c r="K21" s="580"/>
      <c r="L21" s="577"/>
      <c r="M21" s="578"/>
      <c r="N21" s="578"/>
      <c r="O21" s="578"/>
      <c r="P21" s="578"/>
      <c r="Q21" s="578"/>
      <c r="R21" s="578"/>
      <c r="S21" s="578"/>
      <c r="T21" s="578"/>
    </row>
    <row r="22" spans="2:20" ht="27" customHeight="1">
      <c r="B22" s="281" t="s">
        <v>350</v>
      </c>
      <c r="C22" s="581" t="s">
        <v>351</v>
      </c>
      <c r="D22" s="581"/>
      <c r="E22" s="581"/>
      <c r="F22" s="581"/>
      <c r="G22" s="581"/>
      <c r="H22" s="581"/>
      <c r="I22" s="581"/>
      <c r="J22" s="581"/>
      <c r="K22" s="582"/>
      <c r="L22" s="577"/>
      <c r="M22" s="578"/>
      <c r="N22" s="578"/>
      <c r="O22" s="578"/>
      <c r="P22" s="578"/>
      <c r="Q22" s="578"/>
      <c r="R22" s="578"/>
      <c r="S22" s="578"/>
      <c r="T22" s="578"/>
    </row>
    <row r="23" spans="2:20" ht="77.25" customHeight="1">
      <c r="B23" s="281" t="s">
        <v>352</v>
      </c>
      <c r="C23" s="583" t="s">
        <v>395</v>
      </c>
      <c r="D23" s="583"/>
      <c r="E23" s="583"/>
      <c r="F23" s="583"/>
      <c r="G23" s="583"/>
      <c r="H23" s="583"/>
      <c r="I23" s="275"/>
      <c r="J23" s="275"/>
      <c r="K23" s="275"/>
      <c r="L23" s="577"/>
      <c r="M23" s="578"/>
      <c r="N23" s="578"/>
      <c r="O23" s="578"/>
      <c r="P23" s="578"/>
      <c r="Q23" s="578"/>
      <c r="R23" s="578"/>
      <c r="S23" s="578"/>
      <c r="T23" s="578"/>
    </row>
    <row r="24" spans="2:20" ht="13">
      <c r="B24" s="284"/>
      <c r="C24" s="275"/>
      <c r="D24" s="275"/>
      <c r="E24" s="275"/>
      <c r="F24" s="275"/>
      <c r="G24" s="275"/>
      <c r="H24" s="275"/>
      <c r="I24" s="275"/>
      <c r="J24" s="275"/>
      <c r="K24" s="275"/>
      <c r="L24" s="577"/>
      <c r="M24" s="578"/>
      <c r="N24" s="578"/>
      <c r="O24" s="578"/>
      <c r="P24" s="578"/>
      <c r="Q24" s="578"/>
      <c r="R24" s="578"/>
      <c r="S24" s="578"/>
      <c r="T24" s="578"/>
    </row>
    <row r="25" spans="2:20" ht="15.5">
      <c r="B25" s="285" t="s">
        <v>330</v>
      </c>
      <c r="C25" s="283"/>
      <c r="D25" s="275"/>
      <c r="E25" s="275"/>
      <c r="F25" s="275"/>
      <c r="G25" s="275"/>
      <c r="H25" s="275"/>
      <c r="I25" s="275"/>
      <c r="J25" s="275"/>
      <c r="K25" s="275"/>
      <c r="L25" s="577"/>
      <c r="M25" s="578"/>
      <c r="N25" s="578"/>
      <c r="O25" s="578"/>
      <c r="P25" s="578"/>
      <c r="Q25" s="578"/>
      <c r="R25" s="578"/>
      <c r="S25" s="578"/>
      <c r="T25" s="578"/>
    </row>
    <row r="26" spans="2:20" ht="13">
      <c r="B26" s="286" t="s">
        <v>345</v>
      </c>
      <c r="C26" s="287" t="s">
        <v>353</v>
      </c>
      <c r="D26" s="275"/>
      <c r="E26" s="275"/>
      <c r="F26" s="275"/>
      <c r="G26" s="275"/>
      <c r="H26" s="275"/>
      <c r="I26" s="275"/>
      <c r="J26" s="275"/>
      <c r="K26" s="277"/>
      <c r="L26" s="288" t="s">
        <v>316</v>
      </c>
      <c r="M26" s="288" t="s">
        <v>354</v>
      </c>
      <c r="N26" s="288" t="s">
        <v>355</v>
      </c>
      <c r="O26" s="288" t="s">
        <v>356</v>
      </c>
    </row>
    <row r="27" spans="2:20" ht="13">
      <c r="B27" s="289" t="s">
        <v>341</v>
      </c>
      <c r="C27" s="287" t="s">
        <v>357</v>
      </c>
      <c r="D27" s="275"/>
      <c r="E27" s="275"/>
      <c r="F27" s="275"/>
      <c r="G27" s="275"/>
      <c r="H27" s="275"/>
      <c r="I27" s="275"/>
      <c r="J27" s="275"/>
      <c r="K27" s="275"/>
      <c r="L27" s="263" t="s">
        <v>358</v>
      </c>
      <c r="M27" s="263">
        <f>J5</f>
        <v>18.7</v>
      </c>
      <c r="N27" s="263">
        <f>L5</f>
        <v>16.5</v>
      </c>
      <c r="O27" s="263">
        <f>N5</f>
        <v>23</v>
      </c>
    </row>
    <row r="28" spans="2:20" ht="42.75" customHeight="1">
      <c r="B28" s="290" t="s">
        <v>348</v>
      </c>
      <c r="C28" s="583" t="s">
        <v>396</v>
      </c>
      <c r="D28" s="584"/>
      <c r="E28" s="584"/>
      <c r="F28" s="584"/>
      <c r="G28" s="584"/>
      <c r="H28" s="584"/>
      <c r="I28" s="584"/>
      <c r="J28" s="584"/>
      <c r="K28" s="585"/>
      <c r="L28" s="263" t="s">
        <v>359</v>
      </c>
      <c r="M28" s="263">
        <f>J6</f>
        <v>18.100000000000001</v>
      </c>
      <c r="N28" s="263">
        <f>L6</f>
        <v>22</v>
      </c>
      <c r="O28" s="263">
        <f>N6</f>
        <v>15</v>
      </c>
    </row>
    <row r="29" spans="2:20" ht="46.5" customHeight="1">
      <c r="B29" s="290" t="s">
        <v>352</v>
      </c>
      <c r="C29" s="583" t="s">
        <v>397</v>
      </c>
      <c r="D29" s="584"/>
      <c r="E29" s="584"/>
      <c r="F29" s="584"/>
      <c r="G29" s="584"/>
      <c r="H29" s="584"/>
      <c r="I29" s="584"/>
      <c r="J29" s="584"/>
      <c r="K29" s="585"/>
      <c r="L29" s="276"/>
    </row>
    <row r="30" spans="2:20" ht="69.75" customHeight="1">
      <c r="B30" s="290" t="s">
        <v>350</v>
      </c>
      <c r="C30" s="579" t="s">
        <v>398</v>
      </c>
      <c r="D30" s="579"/>
      <c r="E30" s="579"/>
      <c r="F30" s="579"/>
      <c r="G30" s="579"/>
      <c r="H30" s="579"/>
      <c r="I30" s="579"/>
      <c r="J30" s="579"/>
      <c r="K30" s="586"/>
      <c r="L30" s="576" t="s">
        <v>360</v>
      </c>
      <c r="M30" s="575"/>
      <c r="N30" s="575"/>
      <c r="O30" s="575"/>
      <c r="P30" s="575"/>
      <c r="Q30" s="575"/>
      <c r="R30" s="575"/>
      <c r="S30" s="575"/>
      <c r="T30" s="575"/>
    </row>
    <row r="31" spans="2:20" ht="13">
      <c r="B31" s="290"/>
      <c r="C31" s="282"/>
      <c r="D31" s="282"/>
      <c r="E31" s="282"/>
      <c r="F31" s="282"/>
      <c r="G31" s="282"/>
      <c r="H31" s="282"/>
      <c r="I31" s="282"/>
      <c r="J31" s="282"/>
      <c r="K31" s="282"/>
      <c r="L31" s="576"/>
      <c r="M31" s="575"/>
      <c r="N31" s="575"/>
      <c r="O31" s="575"/>
      <c r="P31" s="575"/>
      <c r="Q31" s="575"/>
      <c r="R31" s="575"/>
      <c r="S31" s="575"/>
      <c r="T31" s="575"/>
    </row>
    <row r="32" spans="2:20" ht="15.5">
      <c r="B32" s="285" t="s">
        <v>361</v>
      </c>
      <c r="C32" s="275"/>
      <c r="D32" s="275"/>
      <c r="E32" s="275"/>
      <c r="F32" s="275"/>
      <c r="G32" s="275"/>
      <c r="H32" s="275"/>
      <c r="I32" s="275"/>
      <c r="J32" s="275"/>
      <c r="K32" s="275"/>
      <c r="L32" s="576"/>
      <c r="M32" s="575"/>
      <c r="N32" s="575"/>
      <c r="O32" s="575"/>
      <c r="P32" s="575"/>
      <c r="Q32" s="575"/>
      <c r="R32" s="575"/>
      <c r="S32" s="575"/>
      <c r="T32" s="575"/>
    </row>
    <row r="33" spans="2:20" ht="23.25" customHeight="1">
      <c r="B33" s="279" t="s">
        <v>345</v>
      </c>
      <c r="C33" s="287" t="s">
        <v>362</v>
      </c>
      <c r="D33" s="275"/>
      <c r="E33" s="275"/>
      <c r="F33" s="275"/>
      <c r="G33" s="275"/>
      <c r="H33" s="275"/>
      <c r="I33" s="275"/>
      <c r="J33" s="275"/>
      <c r="K33" s="275"/>
      <c r="L33" s="577" t="s">
        <v>407</v>
      </c>
      <c r="M33" s="578"/>
      <c r="N33" s="578"/>
      <c r="O33" s="578"/>
      <c r="P33" s="578"/>
      <c r="Q33" s="578"/>
      <c r="R33" s="578"/>
      <c r="S33" s="578"/>
      <c r="T33" s="578"/>
    </row>
    <row r="34" spans="2:20" ht="13">
      <c r="B34" s="280" t="s">
        <v>341</v>
      </c>
      <c r="C34" s="287" t="s">
        <v>363</v>
      </c>
      <c r="D34" s="275"/>
      <c r="E34" s="275"/>
      <c r="F34" s="275"/>
      <c r="G34" s="275"/>
      <c r="H34" s="275"/>
      <c r="I34" s="275"/>
      <c r="J34" s="275"/>
      <c r="K34" s="275"/>
      <c r="L34" s="577"/>
      <c r="M34" s="578"/>
      <c r="N34" s="578"/>
      <c r="O34" s="578"/>
      <c r="P34" s="578"/>
      <c r="Q34" s="578"/>
      <c r="R34" s="578"/>
      <c r="S34" s="578"/>
      <c r="T34" s="578"/>
    </row>
    <row r="35" spans="2:20" ht="37.5" customHeight="1">
      <c r="B35" s="281" t="s">
        <v>348</v>
      </c>
      <c r="C35" s="583" t="s">
        <v>399</v>
      </c>
      <c r="D35" s="583"/>
      <c r="E35" s="583"/>
      <c r="F35" s="583"/>
      <c r="G35" s="583"/>
      <c r="H35" s="583"/>
      <c r="I35" s="583"/>
      <c r="J35" s="583"/>
      <c r="K35" s="587"/>
      <c r="L35" s="577"/>
      <c r="M35" s="578"/>
      <c r="N35" s="578"/>
      <c r="O35" s="578"/>
      <c r="P35" s="578"/>
      <c r="Q35" s="578"/>
      <c r="R35" s="578"/>
      <c r="S35" s="578"/>
      <c r="T35" s="578"/>
    </row>
    <row r="36" spans="2:20" ht="26">
      <c r="B36" s="281" t="s">
        <v>352</v>
      </c>
      <c r="C36" s="287" t="s">
        <v>364</v>
      </c>
      <c r="D36" s="275"/>
      <c r="E36" s="275"/>
      <c r="F36" s="275"/>
      <c r="G36" s="275"/>
      <c r="H36" s="275"/>
      <c r="I36" s="275"/>
      <c r="J36" s="275"/>
      <c r="K36" s="275"/>
      <c r="L36" s="577"/>
      <c r="M36" s="578"/>
      <c r="N36" s="578"/>
      <c r="O36" s="578"/>
      <c r="P36" s="578"/>
      <c r="Q36" s="578"/>
      <c r="R36" s="578"/>
      <c r="S36" s="578"/>
      <c r="T36" s="578"/>
    </row>
    <row r="37" spans="2:20" ht="26">
      <c r="B37" s="281" t="s">
        <v>365</v>
      </c>
      <c r="C37" s="579" t="s">
        <v>351</v>
      </c>
      <c r="D37" s="579"/>
      <c r="E37" s="579"/>
      <c r="F37" s="579"/>
      <c r="G37" s="579"/>
      <c r="H37" s="579"/>
      <c r="I37" s="579"/>
      <c r="J37" s="579"/>
      <c r="K37" s="586"/>
      <c r="L37" s="577"/>
      <c r="M37" s="578"/>
      <c r="N37" s="578"/>
      <c r="O37" s="578"/>
      <c r="P37" s="578"/>
      <c r="Q37" s="578"/>
      <c r="R37" s="578"/>
      <c r="S37" s="578"/>
      <c r="T37" s="578"/>
    </row>
    <row r="38" spans="2:20">
      <c r="B38" s="276"/>
      <c r="C38" s="275"/>
      <c r="D38" s="275"/>
      <c r="E38" s="275"/>
      <c r="F38" s="275"/>
      <c r="G38" s="275"/>
      <c r="H38" s="275"/>
      <c r="I38" s="275"/>
      <c r="J38" s="275"/>
      <c r="K38" s="275"/>
      <c r="L38" s="577"/>
      <c r="M38" s="578"/>
      <c r="N38" s="578"/>
      <c r="O38" s="578"/>
      <c r="P38" s="578"/>
      <c r="Q38" s="578"/>
      <c r="R38" s="578"/>
      <c r="S38" s="578"/>
      <c r="T38" s="578"/>
    </row>
    <row r="39" spans="2:20" ht="15.5">
      <c r="B39" s="285" t="s">
        <v>366</v>
      </c>
      <c r="C39" s="275"/>
      <c r="D39" s="275"/>
      <c r="E39" s="275"/>
      <c r="F39" s="275"/>
      <c r="G39" s="275"/>
      <c r="H39" s="275"/>
      <c r="I39" s="275"/>
      <c r="J39" s="275"/>
      <c r="K39" s="275"/>
      <c r="L39" s="577"/>
      <c r="M39" s="578"/>
      <c r="N39" s="578"/>
      <c r="O39" s="578"/>
      <c r="P39" s="578"/>
      <c r="Q39" s="578"/>
      <c r="R39" s="578"/>
      <c r="S39" s="578"/>
      <c r="T39" s="578"/>
    </row>
    <row r="40" spans="2:20" ht="13">
      <c r="B40" s="279" t="s">
        <v>345</v>
      </c>
      <c r="C40" s="275" t="s">
        <v>367</v>
      </c>
      <c r="D40" s="275"/>
      <c r="E40" s="275"/>
      <c r="F40" s="275"/>
      <c r="G40" s="275"/>
      <c r="H40" s="275"/>
      <c r="I40" s="275"/>
      <c r="J40" s="275"/>
      <c r="K40" s="275"/>
      <c r="L40" s="288" t="s">
        <v>316</v>
      </c>
      <c r="M40" s="288" t="s">
        <v>354</v>
      </c>
      <c r="N40" s="288" t="s">
        <v>355</v>
      </c>
      <c r="O40" s="288" t="s">
        <v>356</v>
      </c>
    </row>
    <row r="41" spans="2:20" ht="13">
      <c r="B41" s="280" t="s">
        <v>341</v>
      </c>
      <c r="C41" s="275" t="s">
        <v>368</v>
      </c>
      <c r="D41" s="275"/>
      <c r="E41" s="275"/>
      <c r="F41" s="275"/>
      <c r="G41" s="275"/>
      <c r="H41" s="275"/>
      <c r="I41" s="275"/>
      <c r="J41" s="275"/>
      <c r="K41" s="275"/>
      <c r="L41" s="291" t="s">
        <v>369</v>
      </c>
      <c r="M41" s="263">
        <f>J7</f>
        <v>1.43E-2</v>
      </c>
      <c r="N41" s="263">
        <f>L7</f>
        <v>1.2E-2</v>
      </c>
      <c r="O41" s="263">
        <f>N7</f>
        <v>1.7000000000000001E-2</v>
      </c>
    </row>
    <row r="42" spans="2:20" ht="43.5" customHeight="1">
      <c r="B42" s="281" t="s">
        <v>348</v>
      </c>
      <c r="C42" s="579" t="s">
        <v>370</v>
      </c>
      <c r="D42" s="574"/>
      <c r="E42" s="574"/>
      <c r="F42" s="574"/>
      <c r="G42" s="574"/>
      <c r="H42" s="574"/>
      <c r="I42" s="574"/>
      <c r="J42" s="574"/>
      <c r="K42" s="580"/>
      <c r="L42" s="291" t="s">
        <v>371</v>
      </c>
      <c r="M42" s="263">
        <f>J8</f>
        <v>6.4000000000000001E-2</v>
      </c>
      <c r="N42" s="263">
        <f>L8</f>
        <v>6.8000000000000005E-2</v>
      </c>
      <c r="O42" s="263">
        <f>N8</f>
        <v>5.8000000000000003E-2</v>
      </c>
    </row>
    <row r="43" spans="2:20" ht="30.75" customHeight="1">
      <c r="B43" s="281" t="s">
        <v>352</v>
      </c>
      <c r="C43" s="275" t="s">
        <v>372</v>
      </c>
      <c r="D43" s="275"/>
      <c r="E43" s="275"/>
      <c r="F43" s="275"/>
      <c r="G43" s="275"/>
      <c r="H43" s="275"/>
      <c r="I43" s="275"/>
      <c r="J43" s="275"/>
      <c r="K43" s="275"/>
      <c r="L43" s="291" t="s">
        <v>373</v>
      </c>
      <c r="M43" s="263">
        <f>J9</f>
        <v>4.2000000000000003E-2</v>
      </c>
      <c r="N43" s="263">
        <f>L9</f>
        <v>4.4999999999999998E-2</v>
      </c>
      <c r="O43" s="263">
        <f>N9</f>
        <v>3.6999999999999998E-2</v>
      </c>
    </row>
    <row r="44" spans="2:20" ht="21.75" customHeight="1">
      <c r="B44" s="281" t="s">
        <v>350</v>
      </c>
      <c r="C44" s="579" t="s">
        <v>351</v>
      </c>
      <c r="D44" s="579"/>
      <c r="E44" s="579"/>
      <c r="F44" s="579"/>
      <c r="G44" s="579"/>
      <c r="H44" s="579"/>
      <c r="I44" s="579"/>
      <c r="J44" s="579"/>
      <c r="K44" s="586"/>
      <c r="L44" s="276"/>
    </row>
    <row r="45" spans="2:20">
      <c r="B45" s="276"/>
      <c r="C45" s="275"/>
      <c r="D45" s="275"/>
      <c r="E45" s="275"/>
      <c r="F45" s="275"/>
      <c r="G45" s="275"/>
      <c r="H45" s="275"/>
      <c r="I45" s="275"/>
      <c r="J45" s="275"/>
      <c r="K45" s="275"/>
      <c r="L45" s="276"/>
    </row>
    <row r="46" spans="2:20" ht="17.25" customHeight="1">
      <c r="B46" s="589" t="s">
        <v>374</v>
      </c>
      <c r="C46" s="590"/>
      <c r="D46" s="590"/>
      <c r="E46" s="590"/>
      <c r="F46" s="275"/>
      <c r="G46" s="275"/>
      <c r="H46" s="275"/>
      <c r="I46" s="275"/>
      <c r="J46" s="275"/>
      <c r="K46" s="277"/>
    </row>
    <row r="47" spans="2:20" ht="13">
      <c r="B47" s="279" t="s">
        <v>345</v>
      </c>
      <c r="C47" s="287" t="s">
        <v>375</v>
      </c>
      <c r="D47" s="275"/>
      <c r="E47" s="275"/>
      <c r="F47" s="275"/>
      <c r="G47" s="275"/>
      <c r="H47" s="275"/>
      <c r="I47" s="275"/>
      <c r="J47" s="275"/>
      <c r="K47" s="275"/>
      <c r="L47" s="274"/>
    </row>
    <row r="48" spans="2:20" ht="13">
      <c r="B48" s="280" t="s">
        <v>341</v>
      </c>
      <c r="C48" s="287" t="s">
        <v>376</v>
      </c>
      <c r="D48" s="275"/>
      <c r="E48" s="275"/>
      <c r="F48" s="275"/>
      <c r="G48" s="275"/>
      <c r="H48" s="275"/>
      <c r="I48" s="275"/>
      <c r="J48" s="275"/>
      <c r="K48" s="275"/>
      <c r="L48" s="276"/>
    </row>
    <row r="49" spans="2:15" ht="25.5" customHeight="1">
      <c r="B49" s="281" t="s">
        <v>348</v>
      </c>
      <c r="C49" s="583" t="s">
        <v>408</v>
      </c>
      <c r="D49" s="583"/>
      <c r="E49" s="583"/>
      <c r="F49" s="583"/>
      <c r="G49" s="583"/>
      <c r="H49" s="583"/>
      <c r="I49" s="583"/>
      <c r="J49" s="583"/>
      <c r="K49" s="587"/>
      <c r="L49" s="276"/>
    </row>
    <row r="50" spans="2:15" ht="25.5" customHeight="1">
      <c r="B50" s="281" t="s">
        <v>350</v>
      </c>
      <c r="C50" s="579" t="s">
        <v>351</v>
      </c>
      <c r="D50" s="579"/>
      <c r="E50" s="579"/>
      <c r="F50" s="579"/>
      <c r="G50" s="579"/>
      <c r="H50" s="579"/>
      <c r="I50" s="579"/>
      <c r="J50" s="579"/>
      <c r="K50" s="586"/>
      <c r="L50" s="275"/>
    </row>
    <row r="51" spans="2:15" ht="26">
      <c r="B51" s="281" t="s">
        <v>352</v>
      </c>
      <c r="C51" s="275" t="s">
        <v>377</v>
      </c>
      <c r="D51" s="275"/>
      <c r="E51" s="275"/>
      <c r="F51" s="275"/>
      <c r="G51" s="275"/>
      <c r="H51" s="275"/>
      <c r="I51" s="275"/>
      <c r="J51" s="275"/>
      <c r="K51" s="277"/>
      <c r="L51" s="275"/>
    </row>
    <row r="52" spans="2:15" ht="13">
      <c r="B52" s="276"/>
      <c r="C52" s="275"/>
      <c r="D52" s="275"/>
      <c r="E52" s="275"/>
      <c r="F52" s="275"/>
      <c r="G52" s="275"/>
      <c r="H52" s="275"/>
      <c r="I52" s="275"/>
      <c r="J52" s="275"/>
      <c r="K52" s="277"/>
      <c r="L52" s="300"/>
    </row>
    <row r="53" spans="2:15" ht="33" customHeight="1">
      <c r="B53" s="301" t="s">
        <v>344</v>
      </c>
      <c r="C53" s="275"/>
      <c r="D53" s="275"/>
      <c r="E53" s="275"/>
      <c r="F53" s="275"/>
      <c r="G53" s="275"/>
      <c r="H53" s="275"/>
      <c r="I53" s="275"/>
      <c r="J53" s="275"/>
      <c r="K53" s="277"/>
      <c r="L53" s="588"/>
      <c r="M53" s="588"/>
      <c r="N53" s="588"/>
      <c r="O53" s="588"/>
    </row>
    <row r="54" spans="2:15" ht="81.75" customHeight="1">
      <c r="B54" s="302" t="s">
        <v>378</v>
      </c>
      <c r="C54" s="591" t="s">
        <v>409</v>
      </c>
      <c r="D54" s="592"/>
      <c r="E54" s="592"/>
      <c r="F54" s="592"/>
      <c r="G54" s="592"/>
      <c r="H54" s="592"/>
      <c r="I54" s="592"/>
      <c r="J54" s="592"/>
      <c r="K54" s="593"/>
      <c r="L54" s="588"/>
      <c r="M54" s="588"/>
      <c r="N54" s="588"/>
      <c r="O54" s="588"/>
    </row>
    <row r="55" spans="2:15" ht="23.25" customHeight="1">
      <c r="L55" s="588"/>
      <c r="M55" s="588"/>
      <c r="N55" s="588"/>
      <c r="O55" s="588"/>
    </row>
    <row r="56" spans="2:15" ht="33" customHeight="1">
      <c r="L56" s="588"/>
      <c r="M56" s="588"/>
      <c r="N56" s="588"/>
      <c r="O56" s="588"/>
    </row>
    <row r="57" spans="2:15" ht="29.25" customHeight="1">
      <c r="L57" s="588"/>
      <c r="M57" s="588"/>
      <c r="N57" s="588"/>
      <c r="O57" s="588"/>
    </row>
  </sheetData>
  <mergeCells count="25">
    <mergeCell ref="L54:O54"/>
    <mergeCell ref="L55:O55"/>
    <mergeCell ref="L56:O56"/>
    <mergeCell ref="L57:O57"/>
    <mergeCell ref="C42:K42"/>
    <mergeCell ref="C44:K44"/>
    <mergeCell ref="B46:E46"/>
    <mergeCell ref="C49:K49"/>
    <mergeCell ref="C50:K50"/>
    <mergeCell ref="L53:O53"/>
    <mergeCell ref="C54:K54"/>
    <mergeCell ref="C28:K28"/>
    <mergeCell ref="C29:K29"/>
    <mergeCell ref="C30:K30"/>
    <mergeCell ref="L30:T32"/>
    <mergeCell ref="L33:T39"/>
    <mergeCell ref="C35:K35"/>
    <mergeCell ref="C37:K37"/>
    <mergeCell ref="B3:G3"/>
    <mergeCell ref="B16:I16"/>
    <mergeCell ref="L17:T18"/>
    <mergeCell ref="L19:T25"/>
    <mergeCell ref="C21:K21"/>
    <mergeCell ref="C22:K22"/>
    <mergeCell ref="C23:H23"/>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4FC2D-D310-4924-97CE-E0A521FC7D34}">
  <sheetPr>
    <tabColor theme="2"/>
  </sheetPr>
  <dimension ref="A1:N11"/>
  <sheetViews>
    <sheetView tabSelected="1" workbookViewId="0">
      <selection activeCell="A17" sqref="A17"/>
    </sheetView>
  </sheetViews>
  <sheetFormatPr defaultRowHeight="12.5"/>
  <cols>
    <col min="1" max="1" width="160.6328125" bestFit="1" customWidth="1"/>
  </cols>
  <sheetData>
    <row r="1" spans="1:14" ht="16" thickBot="1">
      <c r="A1" s="225" t="s">
        <v>379</v>
      </c>
      <c r="B1" s="226"/>
      <c r="C1" s="226"/>
      <c r="D1" s="226"/>
      <c r="E1" s="226"/>
      <c r="F1" s="226"/>
      <c r="G1" s="226"/>
      <c r="H1" s="226"/>
      <c r="I1" s="226"/>
      <c r="J1" s="226"/>
      <c r="K1" s="226"/>
      <c r="L1" s="226"/>
      <c r="M1" s="226"/>
      <c r="N1" s="226"/>
    </row>
    <row r="2" spans="1:14">
      <c r="A2" s="485" t="s">
        <v>401</v>
      </c>
    </row>
    <row r="3" spans="1:14">
      <c r="A3" s="485" t="s">
        <v>400</v>
      </c>
    </row>
    <row r="4" spans="1:14">
      <c r="A4" s="485" t="s">
        <v>402</v>
      </c>
    </row>
    <row r="5" spans="1:14">
      <c r="A5" t="s">
        <v>380</v>
      </c>
    </row>
    <row r="6" spans="1:14">
      <c r="A6" t="s">
        <v>381</v>
      </c>
    </row>
    <row r="7" spans="1:14">
      <c r="A7" t="s">
        <v>382</v>
      </c>
    </row>
    <row r="8" spans="1:14">
      <c r="A8" t="s">
        <v>383</v>
      </c>
    </row>
    <row r="9" spans="1:14">
      <c r="A9" t="s">
        <v>403</v>
      </c>
    </row>
    <row r="10" spans="1:14">
      <c r="A10" t="s">
        <v>404</v>
      </c>
    </row>
    <row r="11" spans="1:14">
      <c r="A11" t="s">
        <v>405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1dbbb897-243b-4e30-aacd-1df31291d70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DEDB978291B4C747AD2DBAF29B9AB477" ma:contentTypeVersion="5" ma:contentTypeDescription="Create a new document." ma:contentTypeScope="" ma:versionID="455d060879ab7e15d71d1ddea6a6ce8b">
  <xsd:schema xmlns:xsd="http://www.w3.org/2001/XMLSchema" xmlns:xs="http://www.w3.org/2001/XMLSchema" xmlns:p="http://schemas.microsoft.com/office/2006/metadata/properties" xmlns:ns3="1dbbb897-243b-4e30-aacd-1df31291d70b" targetNamespace="http://schemas.microsoft.com/office/2006/metadata/properties" ma:root="true" ma:fieldsID="6cc3125ede8768aaf0342c1a52ca5738" ns3:_="">
    <xsd:import namespace="1dbbb897-243b-4e30-aacd-1df31291d70b"/>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bbb897-243b-4e30-aacd-1df31291d70b"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319DB45-26B1-4C67-8227-3D14BF29ED67}">
  <ds:schemaRefs>
    <ds:schemaRef ds:uri="http://schemas.microsoft.com/sharepoint/v3/contenttype/forms"/>
  </ds:schemaRefs>
</ds:datastoreItem>
</file>

<file path=customXml/itemProps2.xml><?xml version="1.0" encoding="utf-8"?>
<ds:datastoreItem xmlns:ds="http://schemas.openxmlformats.org/officeDocument/2006/customXml" ds:itemID="{412784A1-D4FB-4BE8-8090-D837D95689DA}">
  <ds:schemaRefs>
    <ds:schemaRef ds:uri="http://purl.org/dc/dcmitype/"/>
    <ds:schemaRef ds:uri="http://schemas.microsoft.com/office/2006/metadata/properties"/>
    <ds:schemaRef ds:uri="http://purl.org/dc/terms/"/>
    <ds:schemaRef ds:uri="http://purl.org/dc/elements/1.1/"/>
    <ds:schemaRef ds:uri="http://schemas.openxmlformats.org/package/2006/metadata/core-properties"/>
    <ds:schemaRef ds:uri="http://www.w3.org/XML/1998/namespace"/>
    <ds:schemaRef ds:uri="http://schemas.microsoft.com/office/2006/documentManagement/types"/>
    <ds:schemaRef ds:uri="http://schemas.microsoft.com/office/infopath/2007/PartnerControls"/>
    <ds:schemaRef ds:uri="1dbbb897-243b-4e30-aacd-1df31291d70b"/>
  </ds:schemaRefs>
</ds:datastoreItem>
</file>

<file path=customXml/itemProps3.xml><?xml version="1.0" encoding="utf-8"?>
<ds:datastoreItem xmlns:ds="http://schemas.openxmlformats.org/officeDocument/2006/customXml" ds:itemID="{3BFE4FDC-AF79-4CCE-9091-C8EEE44AD1B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bbb897-243b-4e30-aacd-1df31291d7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2</vt:i4>
      </vt:variant>
    </vt:vector>
  </HeadingPairs>
  <TitlesOfParts>
    <vt:vector size="13" baseType="lpstr">
      <vt:lpstr>Cover</vt:lpstr>
      <vt:lpstr>DCF</vt:lpstr>
      <vt:lpstr>NWC</vt:lpstr>
      <vt:lpstr>WACC</vt:lpstr>
      <vt:lpstr>WACC Documentation</vt:lpstr>
      <vt:lpstr>AS1</vt:lpstr>
      <vt:lpstr>Assumptions 1 Documentation</vt:lpstr>
      <vt:lpstr>GDP</vt:lpstr>
      <vt:lpstr>AS2</vt:lpstr>
      <vt:lpstr>Assumption 2 Documentation</vt:lpstr>
      <vt:lpstr>References</vt:lpstr>
      <vt:lpstr>DCF!Print_Area</vt:lpstr>
      <vt:lpstr>WACC!Print_Area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Joshua Pearl</dc:creator>
  <cp:keywords/>
  <dc:description/>
  <cp:lastModifiedBy>Henrique MENEZES</cp:lastModifiedBy>
  <cp:revision/>
  <dcterms:created xsi:type="dcterms:W3CDTF">2005-09-05T20:36:21Z</dcterms:created>
  <dcterms:modified xsi:type="dcterms:W3CDTF">2026-02-23T03:58:40Z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DSMenuDocLevelBtnStates">
    <vt:lpwstr>&lt;btnStates&gt;&lt;btn tag="1001" state="UP"/&gt;&lt;/btnStates&gt;_x000d_
</vt:lpwstr>
  </property>
  <property fmtid="{D5CDD505-2E9C-101B-9397-08002B2CF9AE}" pid="3" name="ContentTypeId">
    <vt:lpwstr>0x010100DEDB978291B4C747AD2DBAF29B9AB477</vt:lpwstr>
  </property>
</Properties>
</file>